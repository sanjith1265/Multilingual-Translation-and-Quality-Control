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00_START" sheetId="1" state="visible" r:id="rId1"/>
    <sheet xmlns:r="http://schemas.openxmlformats.org/officeDocument/2006/relationships" name="01_DELIVERABLES" sheetId="2" state="visible" r:id="rId2"/>
    <sheet xmlns:r="http://schemas.openxmlformats.org/officeDocument/2006/relationships" name="02_COMPONENTS" sheetId="3" state="visible" r:id="rId3"/>
    <sheet xmlns:r="http://schemas.openxmlformats.org/officeDocument/2006/relationships" name="03_TEST_EVIDENCE" sheetId="4" state="visible" r:id="rId4"/>
    <sheet xmlns:r="http://schemas.openxmlformats.org/officeDocument/2006/relationships" name="04_TRACK_CRITERIA" sheetId="5" state="visible" r:id="rId5"/>
    <sheet xmlns:r="http://schemas.openxmlformats.org/officeDocument/2006/relationships" name="05_REVIEW_RESULT" sheetId="6" state="visible" r:id="rId6"/>
    <sheet xmlns:r="http://schemas.openxmlformats.org/officeDocument/2006/relationships" name="06_LIVE_VALIDATION" sheetId="7" state="visible" r:id="rId7"/>
    <sheet xmlns:r="http://schemas.openxmlformats.org/officeDocument/2006/relationships" name="07_BATCH_MODERATION" sheetId="8" state="visible" r:id="rId8"/>
  </sheets>
  <definedNames/>
</workbook>
</file>

<file path=xl/styles.xml><?xml version="1.0" encoding="utf-8"?>
<styleSheet xmlns="http://schemas.openxmlformats.org/spreadsheetml/2006/main">
  <numFmts count="3">
    <numFmt numFmtId="164" formatCode="yyyy-mm-dd"/>
    <numFmt numFmtId="165" formatCode="0.0"/>
    <numFmt numFmtId="166" formatCode="0.000"/>
  </numFmts>
  <fonts count="7">
    <font>
      <name val="Carlito"/>
      <sz val="11"/>
    </font>
    <font>
      <name val="Carlito"/>
      <b val="1"/>
      <color rgb="FFFFFFFF"/>
      <sz val="17"/>
    </font>
    <font>
      <name val="Carlito"/>
      <i val="1"/>
      <color rgb="FFFFFFFF"/>
      <sz val="10"/>
    </font>
    <font>
      <name val="Carlito"/>
      <b val="1"/>
      <color rgb="FFFFFFFF"/>
      <sz val="11"/>
    </font>
    <font>
      <name val="Carlito"/>
      <b val="1"/>
      <color rgb="FF14212B"/>
      <sz val="11"/>
    </font>
    <font>
      <name val="Carlito"/>
      <color rgb="FF14212B"/>
      <sz val="9"/>
    </font>
    <font>
      <name val="Carlito"/>
      <b val="1"/>
      <sz val="11"/>
    </font>
  </fonts>
  <fills count="11">
    <fill>
      <patternFill/>
    </fill>
    <fill>
      <patternFill patternType="gray125"/>
    </fill>
    <fill>
      <patternFill patternType="solid">
        <fgColor rgb="FF0B1B2B"/>
      </patternFill>
    </fill>
    <fill>
      <patternFill patternType="solid">
        <fgColor rgb="FF008F8A"/>
      </patternFill>
    </fill>
    <fill>
      <patternFill patternType="solid">
        <fgColor rgb="FF12324D"/>
      </patternFill>
    </fill>
    <fill>
      <patternFill patternType="solid">
        <fgColor rgb="FFF3F5F7"/>
      </patternFill>
    </fill>
    <fill>
      <patternFill patternType="solid">
        <fgColor rgb="FFFFF4C7"/>
      </patternFill>
    </fill>
    <fill>
      <patternFill patternType="solid">
        <fgColor rgb="FFE7F5F3"/>
      </patternFill>
    </fill>
    <fill>
      <patternFill patternType="solid">
        <fgColor rgb="FFFFFFFF"/>
      </patternFill>
    </fill>
    <fill>
      <patternFill patternType="solid">
        <fgColor rgb="FFEAF2F8"/>
      </patternFill>
    </fill>
    <fill>
      <patternFill patternType="solid">
        <fgColor rgb="FFFCE8E6"/>
      </patternFill>
    </fill>
  </fills>
  <borders count="11">
    <border/>
    <border>
      <left style="thin">
        <color rgb="FFD7E0E6"/>
      </left>
      <right style="thin">
        <color rgb="FFD7E0E6"/>
      </right>
      <top style="thin">
        <color rgb="FFD7E0E6"/>
      </top>
      <bottom style="thin">
        <color rgb="FFD7E0E6"/>
      </bottom>
    </border>
    <border>
      <top style="thin">
        <color rgb="FFD7E0E6"/>
      </top>
    </border>
    <border>
      <right style="thin">
        <color rgb="FFD7E0E6"/>
      </right>
      <top style="thin">
        <color rgb="FFD7E0E6"/>
      </top>
    </border>
    <border>
      <top style="thin">
        <color rgb="FFD7E0E6"/>
      </top>
      <bottom style="thin">
        <color rgb="FFD7E0E6"/>
      </bottom>
    </border>
    <border>
      <right style="thin">
        <color rgb="FFD7E0E6"/>
      </right>
      <top style="thin">
        <color rgb="FFD7E0E6"/>
      </top>
      <bottom style="thin">
        <color rgb="FFD7E0E6"/>
      </bottom>
    </border>
    <border>
      <left style="thin">
        <color rgb="FFD7E0E6"/>
      </left>
    </border>
    <border>
      <right style="thin">
        <color rgb="FFD7E0E6"/>
      </right>
    </border>
    <border>
      <left style="thin">
        <color rgb="FFD7E0E6"/>
      </left>
      <bottom style="thin">
        <color rgb="FFD7E0E6"/>
      </bottom>
    </border>
    <border>
      <bottom style="thin">
        <color rgb="FFD7E0E6"/>
      </bottom>
    </border>
    <border>
      <right style="thin">
        <color rgb="FFD7E0E6"/>
      </right>
      <bottom style="thin">
        <color rgb="FFD7E0E6"/>
      </bottom>
    </border>
  </borders>
  <cellStyleXfs count="1">
    <xf numFmtId="0" fontId="0" fillId="0" borderId="0"/>
  </cellStyleXfs>
  <cellXfs count="82">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vertical="center"/>
    </xf>
    <xf numFmtId="0" fontId="0" fillId="3" borderId="0" pivotButton="0" quotePrefix="0" xfId="0"/>
    <xf numFmtId="0" fontId="2" fillId="3" borderId="0" pivotButton="0" quotePrefix="0" xfId="0"/>
    <xf numFmtId="0" fontId="2" fillId="3" borderId="0" applyAlignment="1" pivotButton="0" quotePrefix="0" xfId="0">
      <alignment wrapText="1"/>
    </xf>
    <xf numFmtId="0" fontId="2" fillId="3" borderId="0" applyAlignment="1" pivotButton="0" quotePrefix="0" xfId="0">
      <alignment vertical="center" wrapText="1"/>
    </xf>
    <xf numFmtId="0" fontId="0" fillId="4" borderId="0" pivotButton="0" quotePrefix="0" xfId="0"/>
    <xf numFmtId="0" fontId="3" fillId="4" borderId="0" pivotButton="0" quotePrefix="0" xfId="0"/>
    <xf numFmtId="0" fontId="3" fillId="4" borderId="0" applyAlignment="1" pivotButton="0" quotePrefix="0" xfId="0">
      <alignment vertical="center"/>
    </xf>
    <xf numFmtId="0" fontId="0" fillId="5" borderId="0" pivotButton="0" quotePrefix="0" xfId="0"/>
    <xf numFmtId="0" fontId="4" fillId="5" borderId="0" pivotButton="0" quotePrefix="0" xfId="0"/>
    <xf numFmtId="0" fontId="4" fillId="5" borderId="1" pivotButton="0" quotePrefix="0" xfId="0"/>
    <xf numFmtId="0" fontId="4" fillId="5" borderId="1" applyAlignment="1" pivotButton="0" quotePrefix="0" xfId="0">
      <alignment wrapText="1"/>
    </xf>
    <xf numFmtId="0" fontId="0" fillId="6" borderId="0" pivotButton="0" quotePrefix="0" xfId="0"/>
    <xf numFmtId="0" fontId="5" fillId="6" borderId="0" pivotButton="0" quotePrefix="0" xfId="0"/>
    <xf numFmtId="0" fontId="5" fillId="6" borderId="1" pivotButton="0" quotePrefix="0" xfId="0"/>
    <xf numFmtId="0" fontId="5" fillId="6" borderId="1" applyAlignment="1" pivotButton="0" quotePrefix="0" xfId="0">
      <alignment wrapText="1"/>
    </xf>
    <xf numFmtId="0" fontId="5" fillId="6" borderId="1" applyAlignment="1" pivotButton="0" quotePrefix="0" xfId="0">
      <alignment vertical="top" wrapText="1"/>
    </xf>
    <xf numFmtId="0" fontId="0" fillId="7" borderId="0" pivotButton="0" quotePrefix="0" xfId="0"/>
    <xf numFmtId="0" fontId="5" fillId="7" borderId="0" pivotButton="0" quotePrefix="0" xfId="0"/>
    <xf numFmtId="0" fontId="5" fillId="7" borderId="1" pivotButton="0" quotePrefix="0" xfId="0"/>
    <xf numFmtId="0" fontId="5" fillId="7" borderId="1" applyAlignment="1" pivotButton="0" quotePrefix="0" xfId="0">
      <alignment wrapText="1"/>
    </xf>
    <xf numFmtId="0" fontId="5" fillId="7" borderId="1" applyAlignment="1" pivotButton="0" quotePrefix="0" xfId="0">
      <alignment vertical="top" wrapText="1"/>
    </xf>
    <xf numFmtId="164" fontId="5" fillId="6" borderId="1" applyAlignment="1" pivotButton="0" quotePrefix="0" xfId="0">
      <alignment vertical="top" wrapText="1"/>
    </xf>
    <xf numFmtId="0" fontId="3" fillId="3" borderId="0" pivotButton="0" quotePrefix="0" xfId="0"/>
    <xf numFmtId="0" fontId="3" fillId="3" borderId="1" pivotButton="0" quotePrefix="0" xfId="0"/>
    <xf numFmtId="0" fontId="3" fillId="3" borderId="1" applyAlignment="1" pivotButton="0" quotePrefix="0" xfId="0">
      <alignment horizontal="center"/>
    </xf>
    <xf numFmtId="0" fontId="3" fillId="3" borderId="1" applyAlignment="1" pivotButton="0" quotePrefix="0" xfId="0">
      <alignment horizontal="center" vertical="center"/>
    </xf>
    <xf numFmtId="0" fontId="0" fillId="8" borderId="0" pivotButton="0" quotePrefix="0" xfId="0"/>
    <xf numFmtId="0" fontId="5" fillId="8" borderId="0" pivotButton="0" quotePrefix="0" xfId="0"/>
    <xf numFmtId="0" fontId="5" fillId="8" borderId="1" pivotButton="0" quotePrefix="0" xfId="0"/>
    <xf numFmtId="0" fontId="5" fillId="8" borderId="1" applyAlignment="1" pivotButton="0" quotePrefix="0" xfId="0">
      <alignment wrapText="1"/>
    </xf>
    <xf numFmtId="0" fontId="5" fillId="8" borderId="1" applyAlignment="1" pivotButton="0" quotePrefix="0" xfId="0">
      <alignment vertical="top" wrapText="1"/>
    </xf>
    <xf numFmtId="0" fontId="3" fillId="4" borderId="1" pivotButton="0" quotePrefix="0" xfId="0"/>
    <xf numFmtId="0" fontId="3" fillId="4" borderId="1" applyAlignment="1" pivotButton="0" quotePrefix="0" xfId="0">
      <alignment wrapText="1"/>
    </xf>
    <xf numFmtId="0" fontId="3" fillId="4" borderId="1" applyAlignment="1" pivotButton="0" quotePrefix="0" xfId="0">
      <alignment vertical="center" wrapText="1"/>
    </xf>
    <xf numFmtId="0" fontId="4" fillId="6" borderId="0" pivotButton="0" quotePrefix="0" xfId="0"/>
    <xf numFmtId="0" fontId="4" fillId="6" borderId="1" pivotButton="0" quotePrefix="0" xfId="0"/>
    <xf numFmtId="0" fontId="4" fillId="6" borderId="1" applyAlignment="1" pivotButton="0" quotePrefix="0" xfId="0">
      <alignment wrapText="1"/>
    </xf>
    <xf numFmtId="0" fontId="4" fillId="6" borderId="1" applyAlignment="1" pivotButton="0" quotePrefix="0" xfId="0">
      <alignment vertical="center" wrapText="1"/>
    </xf>
    <xf numFmtId="0" fontId="6" fillId="5" borderId="0" pivotButton="0" quotePrefix="0" xfId="0"/>
    <xf numFmtId="0" fontId="6" fillId="5" borderId="1" pivotButton="0" quotePrefix="0" xfId="0"/>
    <xf numFmtId="0" fontId="0" fillId="9" borderId="0" pivotButton="0" quotePrefix="0" xfId="0"/>
    <xf numFmtId="0" fontId="5" fillId="9" borderId="0" pivotButton="0" quotePrefix="0" xfId="0"/>
    <xf numFmtId="0" fontId="5" fillId="9" borderId="1" pivotButton="0" quotePrefix="0" xfId="0"/>
    <xf numFmtId="0" fontId="5" fillId="9" borderId="1" applyAlignment="1" pivotButton="0" quotePrefix="0" xfId="0">
      <alignment wrapText="1"/>
    </xf>
    <xf numFmtId="0" fontId="5" fillId="9" borderId="1" applyAlignment="1" pivotButton="0" quotePrefix="0" xfId="0">
      <alignment vertical="top" wrapText="1"/>
    </xf>
    <xf numFmtId="165" fontId="5" fillId="6" borderId="1" applyAlignment="1" pivotButton="0" quotePrefix="0" xfId="0">
      <alignment vertical="top" wrapText="1"/>
    </xf>
    <xf numFmtId="0" fontId="4" fillId="7" borderId="0" pivotButton="0" quotePrefix="0" xfId="0"/>
    <xf numFmtId="0" fontId="4" fillId="7" borderId="1" pivotButton="0" quotePrefix="0" xfId="0"/>
    <xf numFmtId="0" fontId="4" fillId="7" borderId="1" applyAlignment="1" pivotButton="0" quotePrefix="0" xfId="0">
      <alignment wrapText="1"/>
    </xf>
    <xf numFmtId="166" fontId="5" fillId="6" borderId="1" applyAlignment="1" pivotButton="0" quotePrefix="0" xfId="0">
      <alignment vertical="top" wrapText="1"/>
    </xf>
    <xf numFmtId="0" fontId="4" fillId="9" borderId="0" pivotButton="0" quotePrefix="0" xfId="0"/>
    <xf numFmtId="0" fontId="4" fillId="9" borderId="1" pivotButton="0" quotePrefix="0" xfId="0"/>
    <xf numFmtId="0" fontId="4" fillId="9" borderId="1" applyAlignment="1" pivotButton="0" quotePrefix="0" xfId="0">
      <alignment wrapText="1"/>
    </xf>
    <xf numFmtId="0" fontId="3" fillId="4" borderId="1" applyAlignment="1" pivotButton="0" quotePrefix="0" xfId="0">
      <alignment horizontal="center"/>
    </xf>
    <xf numFmtId="0" fontId="3" fillId="4" borderId="1" applyAlignment="1" pivotButton="0" quotePrefix="0" xfId="0">
      <alignment horizontal="center" vertical="center"/>
    </xf>
    <xf numFmtId="0" fontId="4" fillId="7" borderId="1" applyAlignment="1" pivotButton="0" quotePrefix="0" xfId="0">
      <alignment vertical="center" wrapText="1"/>
    </xf>
    <xf numFmtId="0" fontId="0" fillId="10" borderId="0" pivotButton="0" quotePrefix="0" xfId="0"/>
    <xf numFmtId="0" fontId="4" fillId="10" borderId="0" pivotButton="0" quotePrefix="0" xfId="0"/>
    <xf numFmtId="0" fontId="4" fillId="10" borderId="1" pivotButton="0" quotePrefix="0" xfId="0"/>
    <xf numFmtId="0" fontId="4" fillId="10" borderId="1" applyAlignment="1" pivotButton="0" quotePrefix="0" xfId="0">
      <alignment wrapText="1"/>
    </xf>
    <xf numFmtId="0" fontId="4" fillId="10" borderId="1" applyAlignment="1" pivotButton="0" quotePrefix="0" xfId="0">
      <alignment vertical="center" wrapText="1"/>
    </xf>
    <xf numFmtId="0" fontId="5" fillId="5" borderId="0" pivotButton="0" quotePrefix="0" xfId="0"/>
    <xf numFmtId="0" fontId="5" fillId="5" borderId="1" pivotButton="0" quotePrefix="0" xfId="0"/>
    <xf numFmtId="0" fontId="5" fillId="5" borderId="1" applyAlignment="1" pivotButton="0" quotePrefix="0" xfId="0">
      <alignment wrapText="1"/>
    </xf>
    <xf numFmtId="0" fontId="5" fillId="5" borderId="1" applyAlignment="1" pivotButton="0" quotePrefix="0" xfId="0">
      <alignment vertical="center" wrapText="1"/>
    </xf>
    <xf numFmtId="0" fontId="5" fillId="5" borderId="1" applyAlignment="1" pivotButton="0" quotePrefix="0" xfId="0">
      <alignment vertical="top" wrapText="1"/>
    </xf>
    <xf numFmtId="0" fontId="0" fillId="0" borderId="4" pivotButton="0" quotePrefix="0" xfId="0"/>
    <xf numFmtId="0" fontId="0" fillId="0" borderId="5" pivotButton="0" quotePrefix="0" xfId="0"/>
    <xf numFmtId="164" fontId="5" fillId="6" borderId="1" applyAlignment="1" pivotButton="0" quotePrefix="0" xfId="0">
      <alignment vertical="top" wrapText="1"/>
    </xf>
    <xf numFmtId="0" fontId="0" fillId="0" borderId="2" pivotButton="0" quotePrefix="0" xfId="0"/>
    <xf numFmtId="0" fontId="0" fillId="0" borderId="3"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6" pivotButton="0" quotePrefix="0" xfId="0"/>
    <xf numFmtId="0" fontId="0" fillId="0" borderId="7" pivotButton="0" quotePrefix="0" xfId="0"/>
    <xf numFmtId="165" fontId="5" fillId="6" borderId="1" applyAlignment="1" pivotButton="0" quotePrefix="0" xfId="0">
      <alignment vertical="top" wrapText="1"/>
    </xf>
    <xf numFmtId="166" fontId="5" fillId="6" borderId="1"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H34"/>
  <sheetViews>
    <sheetView showGridLines="0" workbookViewId="0">
      <selection activeCell="A1" sqref="A1"/>
    </sheetView>
  </sheetViews>
  <sheetFormatPr baseColWidth="8" defaultRowHeight="15"/>
  <cols>
    <col width="18" customWidth="1" min="1" max="1"/>
    <col width="14" customWidth="1" min="2" max="2"/>
    <col width="14" customWidth="1" min="3" max="3"/>
    <col width="14" customWidth="1" min="4" max="4"/>
    <col width="22" customWidth="1" min="5" max="5"/>
    <col width="16" customWidth="1" min="6" max="6"/>
    <col width="18" customWidth="1" min="7" max="7"/>
    <col width="18" customWidth="1" min="8" max="8"/>
  </cols>
  <sheetData>
    <row r="1" ht="34" customHeight="1">
      <c r="A1" s="3" t="inlineStr">
        <is>
          <t>IncuBrix | Track 04 Assessment Workbook</t>
        </is>
      </c>
    </row>
    <row r="2" ht="28" customHeight="1">
      <c r="A2" s="7" t="inlineStr">
        <is>
          <t>Multilingual Translation with Independent Quality Control | Yellow = candidate | Blue = reviewer | Green = calculated</t>
        </is>
      </c>
    </row>
    <row r="4" ht="23" customHeight="1">
      <c r="A4" s="10" t="inlineStr">
        <is>
          <t>Candidate and Submission Details</t>
        </is>
      </c>
    </row>
    <row r="5">
      <c r="A5" s="14" t="inlineStr">
        <is>
          <t>Candidate ID</t>
        </is>
      </c>
      <c r="B5" s="19" t="inlineStr">
        <is>
          <t>SASTRA-2027-TR04-001</t>
        </is>
      </c>
      <c r="C5" s="70" t="n"/>
      <c r="D5" s="71" t="n"/>
      <c r="E5" s="14" t="inlineStr">
        <is>
          <t>Assigned track</t>
        </is>
      </c>
      <c r="F5" s="24" t="inlineStr">
        <is>
          <t>Track 04 - Translation and QC</t>
        </is>
      </c>
      <c r="G5" s="70" t="n"/>
      <c r="H5" s="71" t="n"/>
    </row>
    <row r="6">
      <c r="A6" s="14" t="inlineStr">
        <is>
          <t>Candidate name</t>
        </is>
      </c>
      <c r="B6" s="19" t="inlineStr">
        <is>
          <t>Sanjith</t>
        </is>
      </c>
      <c r="C6" s="70" t="n"/>
      <c r="D6" s="71" t="n"/>
      <c r="E6" s="14" t="inlineStr">
        <is>
          <t>Candidate email</t>
        </is>
      </c>
      <c r="F6" s="19" t="inlineStr">
        <is>
          <t>sanjith@sastra.ac.in</t>
        </is>
      </c>
      <c r="G6" s="70" t="n"/>
      <c r="H6" s="71" t="n"/>
    </row>
    <row r="7">
      <c r="A7" s="14" t="inlineStr">
        <is>
          <t>Submission date</t>
        </is>
      </c>
      <c r="B7" s="72" t="inlineStr">
        <is>
          <t>2026-09-11</t>
        </is>
      </c>
      <c r="C7" s="70" t="n"/>
      <c r="D7" s="71" t="n"/>
      <c r="E7" s="14" t="inlineStr">
        <is>
          <t>Repository URL</t>
        </is>
      </c>
      <c r="F7" s="19" t="inlineStr">
        <is>
          <t>d:/incubrix</t>
        </is>
      </c>
      <c r="G7" s="70" t="n"/>
      <c r="H7" s="71" t="n"/>
    </row>
    <row r="8">
      <c r="A8" s="14" t="inlineStr">
        <is>
          <t>CPU and core count</t>
        </is>
      </c>
      <c r="B8" s="19" t="inlineStr">
        <is>
          <t>Intel Core i5-11300H @ 3.10GHz (4 physical / 8 logical cores)</t>
        </is>
      </c>
      <c r="C8" s="70" t="n"/>
      <c r="D8" s="71" t="n"/>
      <c r="E8" s="14" t="inlineStr">
        <is>
          <t>RAM (GB)</t>
        </is>
      </c>
      <c r="F8" s="19" t="inlineStr">
        <is>
          <t>7.79 GB</t>
        </is>
      </c>
      <c r="G8" s="70" t="n"/>
      <c r="H8" s="71" t="n"/>
    </row>
    <row r="9">
      <c r="A9" s="14" t="inlineStr">
        <is>
          <t>Operating system</t>
        </is>
      </c>
      <c r="B9" s="19" t="inlineStr">
        <is>
          <t>Windows 11 Home 64-bit</t>
        </is>
      </c>
      <c r="C9" s="70" t="n"/>
      <c r="D9" s="71" t="n"/>
      <c r="E9" s="14" t="inlineStr">
        <is>
          <t>Python/runtime versions</t>
        </is>
      </c>
      <c r="F9" s="19" t="inlineStr">
        <is>
          <t>Python 3.11.6, Torch 2.7.1, Transformers 5.17.0, CTranslate2 4.8.2</t>
        </is>
      </c>
      <c r="G9" s="70" t="n"/>
      <c r="H9" s="71" t="n"/>
    </row>
    <row r="10">
      <c r="A10" s="14" t="inlineStr">
        <is>
          <t>Approved free compute used?</t>
        </is>
      </c>
      <c r="B10" s="19" t="inlineStr">
        <is>
          <t>No (100% Local CPU Execution on Laptop)</t>
        </is>
      </c>
      <c r="C10" s="70" t="n"/>
      <c r="D10" s="71" t="n"/>
      <c r="E10" s="14" t="inlineStr">
        <is>
          <t>Provider / runtime</t>
        </is>
      </c>
      <c r="F10" s="19" t="inlineStr">
        <is>
          <t>Local CPU (PyTorch &amp; CTranslate2 INT8)</t>
        </is>
      </c>
      <c r="G10" s="70" t="n"/>
      <c r="H10" s="71" t="n"/>
    </row>
    <row r="11">
      <c r="A11" s="14" t="inlineStr">
        <is>
          <t>Report/demo folder URL</t>
        </is>
      </c>
      <c r="B11" s="19" t="inlineStr">
        <is>
          <t>d:/incubrix/TECHNICAL_REPORT.md</t>
        </is>
      </c>
      <c r="C11" s="70" t="n"/>
      <c r="D11" s="71" t="n"/>
      <c r="E11" s="14" t="inlineStr">
        <is>
          <t>AI coding tools used</t>
        </is>
      </c>
      <c r="F11" s="19" t="inlineStr">
        <is>
          <t>Google Antigravity (Gemini 3.8 Flash) - disclosed in AI_USE.md</t>
        </is>
      </c>
      <c r="G11" s="70" t="n"/>
      <c r="H11" s="71" t="n"/>
    </row>
    <row r="13" ht="23" customHeight="1">
      <c r="A13" s="10" t="inlineStr">
        <is>
          <t>Assessment Rules</t>
        </is>
      </c>
    </row>
    <row r="14" ht="36" customHeight="1">
      <c r="A14" s="29" t="n">
        <v>1</v>
      </c>
      <c r="B14" s="34" t="inlineStr">
        <is>
          <t>Complete only this assigned track. Do not switch without written confirmation.</t>
        </is>
      </c>
      <c r="C14" s="70" t="n"/>
      <c r="D14" s="70" t="n"/>
      <c r="E14" s="70" t="n"/>
      <c r="F14" s="70" t="n"/>
      <c r="G14" s="70" t="n"/>
      <c r="H14" s="71" t="n"/>
    </row>
    <row r="15" ht="36" customHeight="1">
      <c r="A15" s="29" t="n">
        <v>2</v>
      </c>
      <c r="B15" s="34" t="inlineStr">
        <is>
          <t>CPU-first. The complete baseline and Strong path must run locally on the candidate's non-GPU laptop. Free compute may be used for an additional comparison only; the submitted default route must remain locally reproducible.</t>
        </is>
      </c>
      <c r="C15" s="70" t="n"/>
      <c r="D15" s="70" t="n"/>
      <c r="E15" s="70" t="n"/>
      <c r="F15" s="70" t="n"/>
      <c r="G15" s="70" t="n"/>
      <c r="H15" s="71" t="n"/>
    </row>
    <row r="16" ht="36" customHeight="1">
      <c r="A16" s="29" t="n">
        <v>3</v>
      </c>
      <c r="B16" s="34" t="inlineStr">
        <is>
          <t>Use open-source software and open/open-weight models as much as possible. Verify code, weights, data and media licences separately.</t>
        </is>
      </c>
      <c r="C16" s="70" t="n"/>
      <c r="D16" s="70" t="n"/>
      <c r="E16" s="70" t="n"/>
      <c r="F16" s="70" t="n"/>
      <c r="G16" s="70" t="n"/>
      <c r="H16" s="71" t="n"/>
    </row>
    <row r="17" ht="36" customHeight="1">
      <c r="A17" s="29" t="n">
        <v>4</v>
      </c>
      <c r="B17" s="34" t="inlineStr">
        <is>
          <t>No candidate payment, card, subscription, pay-as-you-go, commercial generation API or undisclosed hosted endpoint is permitted.</t>
        </is>
      </c>
      <c r="C17" s="70" t="n"/>
      <c r="D17" s="70" t="n"/>
      <c r="E17" s="70" t="n"/>
      <c r="F17" s="70" t="n"/>
      <c r="G17" s="70" t="n"/>
      <c r="H17" s="71" t="n"/>
    </row>
    <row r="18" ht="36" customHeight="1">
      <c r="A18" s="29" t="n">
        <v>5</v>
      </c>
      <c r="B18" s="34" t="inlineStr">
        <is>
          <t>Submit runnable code, tests, all outputs, measured resources, SOURCES.md, AI_USE.md, licence manifest, report and unedited demo.</t>
        </is>
      </c>
      <c r="C18" s="70" t="n"/>
      <c r="D18" s="70" t="n"/>
      <c r="E18" s="70" t="n"/>
      <c r="F18" s="70" t="n"/>
      <c r="G18" s="70" t="n"/>
      <c r="H18" s="71" t="n"/>
    </row>
    <row r="19" ht="36" customHeight="1">
      <c r="A19" s="29" t="n">
        <v>6</v>
      </c>
      <c r="B19" s="34" t="inlineStr">
        <is>
          <t>Use only owned, consented, public-domain or licensed voice, likeness, data and media. Candidate code is assessment work; later product use requires a separate written arrangement.</t>
        </is>
      </c>
      <c r="C19" s="70" t="n"/>
      <c r="D19" s="70" t="n"/>
      <c r="E19" s="70" t="n"/>
      <c r="F19" s="70" t="n"/>
      <c r="G19" s="70" t="n"/>
      <c r="H19" s="71" t="n"/>
    </row>
    <row r="21" ht="23" customHeight="1">
      <c r="A21" s="10" t="inlineStr">
        <is>
          <t>Scoring and Final Checklist</t>
        </is>
      </c>
    </row>
    <row r="22">
      <c r="A22" s="37" t="inlineStr">
        <is>
          <t>Category</t>
        </is>
      </c>
      <c r="B22" s="37" t="inlineStr">
        <is>
          <t>Points</t>
        </is>
      </c>
      <c r="C22" s="37" t="inlineStr">
        <is>
          <t>Owner</t>
        </is>
      </c>
      <c r="E22" s="37" t="inlineStr">
        <is>
          <t>Candidate checklist</t>
        </is>
      </c>
      <c r="F22" s="37" t="inlineStr">
        <is>
          <t>Status</t>
        </is>
      </c>
      <c r="G22" s="37" t="inlineStr">
        <is>
          <t>Evidence / note</t>
        </is>
      </c>
      <c r="H22" s="71" t="n"/>
    </row>
    <row r="23">
      <c r="A23" s="34" t="inlineStr">
        <is>
          <t>Functional correctness and output quality</t>
        </is>
      </c>
      <c r="B23" s="34" t="n">
        <v>25</v>
      </c>
      <c r="C23" s="34" t="inlineStr">
        <is>
          <t>Evaluator</t>
        </is>
      </c>
      <c r="E23" s="34" t="inlineStr">
        <is>
          <t>Repository accessible</t>
        </is>
      </c>
      <c r="F23" s="19" t="str"/>
      <c r="G23" s="19" t="str"/>
      <c r="H23" s="71" t="n"/>
    </row>
    <row r="24">
      <c r="A24" s="34" t="inlineStr">
        <is>
          <t>Software engineering and architecture</t>
        </is>
      </c>
      <c r="B24" s="34" t="n">
        <v>25</v>
      </c>
      <c r="C24" s="34" t="inlineStr">
        <is>
          <t>Evaluator</t>
        </is>
      </c>
      <c r="E24" s="34" t="inlineStr">
        <is>
          <t>Clean setup/run path exercised</t>
        </is>
      </c>
      <c r="F24" s="19" t="str"/>
      <c r="G24" s="19" t="str"/>
      <c r="H24" s="71" t="n"/>
    </row>
    <row r="25">
      <c r="A25" s="34" t="inlineStr">
        <is>
          <t>Testing, evaluation and reproducibility</t>
        </is>
      </c>
      <c r="B25" s="34" t="n">
        <v>20</v>
      </c>
      <c r="C25" s="34" t="inlineStr">
        <is>
          <t>Evaluator</t>
        </is>
      </c>
      <c r="E25" s="34" t="inlineStr">
        <is>
          <t>Baseline evidence complete</t>
        </is>
      </c>
      <c r="F25" s="19" t="str"/>
      <c r="G25" s="19" t="str"/>
      <c r="H25" s="71" t="n"/>
    </row>
    <row r="26">
      <c r="A26" s="34" t="inlineStr">
        <is>
          <t>Efficiency, licensing and product fit</t>
        </is>
      </c>
      <c r="B26" s="34" t="n">
        <v>10</v>
      </c>
      <c r="C26" s="34" t="inlineStr">
        <is>
          <t>Evaluator</t>
        </is>
      </c>
      <c r="E26" s="34" t="inlineStr">
        <is>
          <t>Models/licences/rights disclosed</t>
        </is>
      </c>
      <c r="F26" s="19" t="str"/>
      <c r="G26" s="19" t="str"/>
      <c r="H26" s="71" t="n"/>
    </row>
    <row r="27">
      <c r="A27" s="34" t="inlineStr">
        <is>
          <t>Live validation, debugging and ownership</t>
        </is>
      </c>
      <c r="B27" s="34" t="n">
        <v>20</v>
      </c>
      <c r="C27" s="34" t="inlineStr">
        <is>
          <t>Evaluator</t>
        </is>
      </c>
      <c r="E27" s="34" t="inlineStr">
        <is>
          <t>All attempts and failures indexed</t>
        </is>
      </c>
      <c r="F27" s="19" t="str"/>
      <c r="G27" s="19" t="str"/>
      <c r="H27" s="71" t="n"/>
    </row>
    <row r="28">
      <c r="A28" s="34" t="inlineStr">
        <is>
          <t>Total</t>
        </is>
      </c>
      <c r="B28" s="34" t="n">
        <v>100</v>
      </c>
      <c r="C28" s="34" t="inlineStr">
        <is>
          <t>Calculated</t>
        </is>
      </c>
      <c r="E28" s="34" t="inlineStr">
        <is>
          <t>Tests and benchmark included</t>
        </is>
      </c>
      <c r="F28" s="19" t="str"/>
      <c r="G28" s="19" t="str"/>
      <c r="H28" s="71" t="n"/>
    </row>
    <row r="29">
      <c r="E29" s="34" t="inlineStr">
        <is>
          <t>Report, demo, SOURCES.md and AI_USE.md</t>
        </is>
      </c>
      <c r="F29" s="19" t="str"/>
      <c r="G29" s="19" t="str"/>
      <c r="H29" s="71" t="n"/>
    </row>
    <row r="30">
      <c r="E30" s="34" t="inlineStr">
        <is>
          <t>Free compute/no-payment rule disclosed</t>
        </is>
      </c>
      <c r="F30" s="19" t="str"/>
      <c r="G30" s="19" t="str"/>
      <c r="H30" s="71" t="n"/>
    </row>
    <row r="32">
      <c r="A32" s="41" t="inlineStr">
        <is>
          <t>Declaration: This is my individual work. All AI tools, third-party code, models, data, media, licences, manual steps and hosted execution are disclosed. I paid nothing for the assessment and can explain and modify the core implementation live.</t>
        </is>
      </c>
      <c r="B32" s="73" t="n"/>
      <c r="C32" s="73" t="n"/>
      <c r="D32" s="73" t="n"/>
      <c r="E32" s="73" t="n"/>
      <c r="F32" s="73" t="n"/>
      <c r="G32" s="73" t="n"/>
      <c r="H32" s="74" t="n"/>
    </row>
    <row r="33">
      <c r="A33" s="75" t="n"/>
      <c r="B33" s="76" t="n"/>
      <c r="C33" s="76" t="n"/>
      <c r="D33" s="76" t="n"/>
      <c r="E33" s="76" t="n"/>
      <c r="F33" s="76" t="n"/>
      <c r="G33" s="76" t="n"/>
      <c r="H33" s="77" t="n"/>
    </row>
    <row r="34">
      <c r="A34" s="43" t="inlineStr">
        <is>
          <t>Candidate name/signature</t>
        </is>
      </c>
      <c r="B34" s="19" t="str"/>
      <c r="C34" s="70" t="n"/>
      <c r="D34" s="71" t="n"/>
      <c r="E34" s="43" t="inlineStr">
        <is>
          <t>Date</t>
        </is>
      </c>
      <c r="F34" s="19" t="str"/>
      <c r="G34" s="70" t="n"/>
      <c r="H34" s="71" t="n"/>
    </row>
  </sheetData>
  <mergeCells count="37">
    <mergeCell ref="B11:D11"/>
    <mergeCell ref="F5:H5"/>
    <mergeCell ref="B8:D8"/>
    <mergeCell ref="G27:H27"/>
    <mergeCell ref="F8:H8"/>
    <mergeCell ref="B15:H15"/>
    <mergeCell ref="G23:H23"/>
    <mergeCell ref="A1:H1"/>
    <mergeCell ref="A32:H33"/>
    <mergeCell ref="B34:D34"/>
    <mergeCell ref="B10:D10"/>
    <mergeCell ref="B9:D9"/>
    <mergeCell ref="B16:H16"/>
    <mergeCell ref="G28:H28"/>
    <mergeCell ref="F9:H9"/>
    <mergeCell ref="B6:D6"/>
    <mergeCell ref="B5:D5"/>
    <mergeCell ref="A21:H21"/>
    <mergeCell ref="B18:H18"/>
    <mergeCell ref="G24:H24"/>
    <mergeCell ref="G30:H30"/>
    <mergeCell ref="F7:H7"/>
    <mergeCell ref="A2:H2"/>
    <mergeCell ref="B7:D7"/>
    <mergeCell ref="F11:H11"/>
    <mergeCell ref="G26:H26"/>
    <mergeCell ref="G29:H29"/>
    <mergeCell ref="A4:H4"/>
    <mergeCell ref="F10:H10"/>
    <mergeCell ref="B14:H14"/>
    <mergeCell ref="F34:H34"/>
    <mergeCell ref="F6:H6"/>
    <mergeCell ref="B17:H17"/>
    <mergeCell ref="G25:H25"/>
    <mergeCell ref="A13:H13"/>
    <mergeCell ref="G22:H22"/>
    <mergeCell ref="B19:H19"/>
  </mergeCells>
  <dataValidations count="2">
    <dataValidation sqref="B10:D10" showDropDown="0" showInputMessage="0" showErrorMessage="0" allowBlank="0" type="list">
      <formula1>"No,Yes - free only,Blocked; IncuBrix support requested"</formula1>
    </dataValidation>
    <dataValidation sqref="F23:F30" showDropDown="0" showInputMessage="0" showErrorMessage="0" allowBlank="0" type="list">
      <formula1>"Complete,Partial,Not complete"</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28"/>
  <sheetViews>
    <sheetView showGridLines="0" workbookViewId="0">
      <selection activeCell="A1" sqref="A1"/>
    </sheetView>
  </sheetViews>
  <sheetFormatPr baseColWidth="8" defaultRowHeight="15"/>
  <cols>
    <col width="9" customWidth="1" min="1" max="1"/>
    <col width="38" customWidth="1" min="2" max="2"/>
    <col width="18" customWidth="1" min="3" max="3"/>
    <col width="34" customWidth="1" min="4" max="4"/>
    <col width="28" customWidth="1" min="5" max="5"/>
    <col width="28" customWidth="1" min="6" max="6"/>
  </cols>
  <sheetData>
    <row r="1" ht="34" customHeight="1">
      <c r="A1" s="3" t="inlineStr">
        <is>
          <t>Track 04 | Deliverables and Reproduction</t>
        </is>
      </c>
    </row>
    <row r="2" ht="28" customHeight="1">
      <c r="A2" s="7" t="inlineStr">
        <is>
          <t>Enter working paths/URLs and exact commands; reviewer notes are blue</t>
        </is>
      </c>
    </row>
    <row r="4">
      <c r="A4" s="37" t="inlineStr">
        <is>
          <t>No.</t>
        </is>
      </c>
      <c r="B4" s="37" t="inlineStr">
        <is>
          <t>Deliverable</t>
        </is>
      </c>
      <c r="C4" s="37" t="inlineStr">
        <is>
          <t>Candidate status</t>
        </is>
      </c>
      <c r="D4" s="37" t="inlineStr">
        <is>
          <t>Evidence / path / URL</t>
        </is>
      </c>
      <c r="E4" s="37" t="inlineStr">
        <is>
          <t>Candidate notes</t>
        </is>
      </c>
      <c r="F4" s="37" t="inlineStr">
        <is>
          <t>Reviewer note</t>
        </is>
      </c>
    </row>
    <row r="5" ht="40" customHeight="1">
      <c r="A5" s="34" t="n">
        <v>1</v>
      </c>
      <c r="B5" s="34" t="inlineStr">
        <is>
          <t>Repository: source, configuration, tests and download scripts</t>
        </is>
      </c>
      <c r="C5" s="19" t="inlineStr">
        <is>
          <t>Complete</t>
        </is>
      </c>
      <c r="D5" s="19" t="inlineStr">
        <is>
          <t>d:/incubrix</t>
        </is>
      </c>
      <c r="E5" s="19" t="inlineStr">
        <is>
          <t>Fully modular package (incubrix) with CLI, FastAPI microservice, SQLite cache &amp; test suite</t>
        </is>
      </c>
      <c r="F5" s="48" t="str"/>
    </row>
    <row r="6" ht="40" customHeight="1">
      <c r="A6" s="34" t="n">
        <v>2</v>
      </c>
      <c r="B6" s="34" t="inlineStr">
        <is>
          <t>Clean CPU reproduction: environment/lock/container file</t>
        </is>
      </c>
      <c r="C6" s="19" t="inlineStr">
        <is>
          <t>Complete</t>
        </is>
      </c>
      <c r="D6" s="19" t="inlineStr">
        <is>
          <t>d:/incubrix/requirements.txt</t>
        </is>
      </c>
      <c r="E6" s="19" t="inlineStr">
        <is>
          <t>CPU-first requirements file with pinned versions; setup via 'pip install -r requirements.txt'</t>
        </is>
      </c>
      <c r="F6" s="48" t="str"/>
    </row>
    <row r="7" ht="40" customHeight="1">
      <c r="A7" s="34" t="n">
        <v>3</v>
      </c>
      <c r="B7" s="34" t="inlineStr">
        <is>
          <t>Approved free-compute notebook and exported logs (if permitted/used)</t>
        </is>
      </c>
      <c r="C7" s="19" t="inlineStr">
        <is>
          <t>N/A - Local CPU</t>
        </is>
      </c>
      <c r="D7" s="19" t="inlineStr">
        <is>
          <t>d:/incubrix/README.md</t>
        </is>
      </c>
      <c r="E7" s="19" t="inlineStr">
        <is>
          <t>100% executed locally on non-GPU laptop; no cloud/free-compute credits required</t>
        </is>
      </c>
      <c r="F7" s="48" t="str"/>
    </row>
    <row r="8" ht="40" customHeight="1">
      <c r="A8" s="34" t="n">
        <v>4</v>
      </c>
      <c r="B8" s="34" t="inlineStr">
        <is>
          <t>SOURCES.md, AI_USE.md and complete licence/rights manifest</t>
        </is>
      </c>
      <c r="C8" s="19" t="inlineStr">
        <is>
          <t>Complete</t>
        </is>
      </c>
      <c r="D8" s="19" t="inlineStr">
        <is>
          <t>d:/incubrix/SOURCES.md, d:/incubrix/AI_USE.md</t>
        </is>
      </c>
      <c r="E8" s="19" t="inlineStr">
        <is>
          <t>Comprehensive third-party license manifest, commercial viability assessment, and AI assistance disclosure</t>
        </is>
      </c>
      <c r="F8" s="48" t="str"/>
    </row>
    <row r="9" ht="40" customHeight="1">
      <c r="A9" s="34" t="n">
        <v>5</v>
      </c>
      <c r="B9" s="34" t="inlineStr">
        <is>
          <t>Track-specific test pack, all outputs and evidence index</t>
        </is>
      </c>
      <c r="C9" s="19" t="inlineStr">
        <is>
          <t>Complete</t>
        </is>
      </c>
      <c r="D9" s="19" t="inlineStr">
        <is>
          <t>d:/incubrix/data/test_matrix.json, d:/incubrix/data/qc_audit_report.json</t>
        </is>
      </c>
      <c r="E9" s="19" t="inlineStr">
        <is>
          <t>5 varied inputs per target language, 20 non-English pairs, and 10 fault-injection test scenarios</t>
        </is>
      </c>
      <c r="F9" s="48" t="str"/>
    </row>
    <row r="10" ht="40" customHeight="1">
      <c r="A10" s="34" t="n">
        <v>6</v>
      </c>
      <c r="B10" s="34" t="inlineStr">
        <is>
          <t>Automated unit, integration and end-to-end tests</t>
        </is>
      </c>
      <c r="C10" s="19" t="inlineStr">
        <is>
          <t>Complete</t>
        </is>
      </c>
      <c r="D10" s="19" t="inlineStr">
        <is>
          <t>d:/incubrix/tests/</t>
        </is>
      </c>
      <c r="E10" s="19" t="inlineStr">
        <is>
          <t>23 automated tests passing (100% pass rate) covering entity masking, cache resume, router, and 3 QC checks</t>
        </is>
      </c>
      <c r="F10" s="48" t="str"/>
    </row>
    <row r="11" ht="40" customHeight="1">
      <c r="A11" s="34" t="n">
        <v>7</v>
      </c>
      <c r="B11" s="34" t="inlineStr">
        <is>
          <t>Benchmark: runtime, memory, model size and quality metrics</t>
        </is>
      </c>
      <c r="C11" s="19" t="inlineStr">
        <is>
          <t>Complete</t>
        </is>
      </c>
      <c r="D11" s="19" t="inlineStr">
        <is>
          <t>d:/incubrix/benchmarks/benchmark_results.json</t>
        </is>
      </c>
      <c r="E11" s="19" t="inlineStr">
        <is>
          <t>Measured on Intel i5 CPU: 21.12 ms avg latency, 8,125 chars/s throughput, 396 MB peak RSS</t>
        </is>
      </c>
      <c r="F11" s="48" t="str"/>
    </row>
    <row r="12" ht="40" customHeight="1">
      <c r="A12" s="34" t="n">
        <v>8</v>
      </c>
      <c r="B12" s="34" t="inlineStr">
        <is>
          <t>Technical report: architecture, trade-offs, failures and product path</t>
        </is>
      </c>
      <c r="C12" s="19" t="inlineStr">
        <is>
          <t>Complete</t>
        </is>
      </c>
      <c r="D12" s="19" t="inlineStr">
        <is>
          <t>d:/incubrix/TECHNICAL_REPORT.md</t>
        </is>
      </c>
      <c r="E12" s="19" t="inlineStr">
        <is>
          <t>12-page comprehensive report: system architecture, model trade-offs, fault analysis, and CreatorOps integration</t>
        </is>
      </c>
      <c r="F12" s="48" t="str"/>
    </row>
    <row r="13" ht="40" customHeight="1">
      <c r="A13" s="34" t="n">
        <v>9</v>
      </c>
      <c r="B13" s="34" t="inlineStr">
        <is>
          <t>Unedited demo video (maximum 8 minutes)</t>
        </is>
      </c>
      <c r="C13" s="19" t="inlineStr">
        <is>
          <t>Ready</t>
        </is>
      </c>
      <c r="D13" s="19" t="inlineStr">
        <is>
          <t>demo_video.mp4 (Pending candidate screen recording)</t>
        </is>
      </c>
      <c r="E13" s="19" t="inlineStr">
        <is>
          <t>Prepared demo script executing CLI translation, fault injection, route verification, and live API</t>
        </is>
      </c>
      <c r="F13" s="48" t="str"/>
    </row>
    <row r="15" ht="23" customHeight="1">
      <c r="A15" s="10" t="inlineStr">
        <is>
          <t>Exact Reproduction Commands</t>
        </is>
      </c>
    </row>
    <row r="16" ht="36" customHeight="1">
      <c r="A16" s="14" t="inlineStr">
        <is>
          <t>Environment/setup</t>
        </is>
      </c>
      <c r="B16" s="19" t="inlineStr">
        <is>
          <t>python -m pip install -r requirements.txt &amp;&amp; python -m pip install -e .</t>
        </is>
      </c>
      <c r="C16" s="70" t="n"/>
      <c r="D16" s="70" t="n"/>
      <c r="E16" s="70" t="n"/>
      <c r="F16" s="71" t="n"/>
    </row>
    <row r="17" ht="36" customHeight="1">
      <c r="A17" s="14" t="inlineStr">
        <is>
          <t>Model/asset download</t>
        </is>
      </c>
      <c r="B17" s="19" t="inlineStr">
        <is>
          <t>Models download dynamically from HuggingFace Hub on initial execution (or cached locally)</t>
        </is>
      </c>
      <c r="C17" s="70" t="n"/>
      <c r="D17" s="70" t="n"/>
      <c r="E17" s="70" t="n"/>
      <c r="F17" s="71" t="n"/>
    </row>
    <row r="18" ht="36" customHeight="1">
      <c r="A18" s="14" t="inlineStr">
        <is>
          <t>CPU baseline run</t>
        </is>
      </c>
      <c r="B18" s="19" t="inlineStr">
        <is>
          <t>python -m incubrix.cli translate 'Welcome creators!' --from en --to hi</t>
        </is>
      </c>
      <c r="C18" s="70" t="n"/>
      <c r="D18" s="70" t="n"/>
      <c r="E18" s="70" t="n"/>
      <c r="F18" s="71" t="n"/>
    </row>
    <row r="19" ht="36" customHeight="1">
      <c r="A19" s="14" t="inlineStr">
        <is>
          <t>Approved free-compute run (if used)</t>
        </is>
      </c>
      <c r="B19" s="19" t="inlineStr">
        <is>
          <t>N/A (All execution is 100% local CPU)</t>
        </is>
      </c>
      <c r="C19" s="70" t="n"/>
      <c r="D19" s="70" t="n"/>
      <c r="E19" s="70" t="n"/>
      <c r="F19" s="71" t="n"/>
    </row>
    <row r="20" ht="36" customHeight="1">
      <c r="A20" s="14" t="inlineStr">
        <is>
          <t>Automated tests</t>
        </is>
      </c>
      <c r="B20" s="19" t="inlineStr">
        <is>
          <t>python -m pytest tests/ -v</t>
        </is>
      </c>
      <c r="C20" s="70" t="n"/>
      <c r="D20" s="70" t="n"/>
      <c r="E20" s="70" t="n"/>
      <c r="F20" s="71" t="n"/>
    </row>
    <row r="21" ht="36" customHeight="1">
      <c r="A21" s="14" t="inlineStr">
        <is>
          <t>Benchmark</t>
        </is>
      </c>
      <c r="B21" s="19" t="inlineStr">
        <is>
          <t>python -m incubrix.cli benchmark</t>
        </is>
      </c>
      <c r="C21" s="70" t="n"/>
      <c r="D21" s="70" t="n"/>
      <c r="E21" s="70" t="n"/>
      <c r="F21" s="71" t="n"/>
    </row>
    <row r="22" ht="36" customHeight="1">
      <c r="A22" s="14" t="inlineStr">
        <is>
          <t>Output validation</t>
        </is>
      </c>
      <c r="B22" s="19" t="inlineStr">
        <is>
          <t>python -m incubrix.cli audit-qc</t>
        </is>
      </c>
      <c r="C22" s="70" t="n"/>
      <c r="D22" s="70" t="n"/>
      <c r="E22" s="70" t="n"/>
      <c r="F22" s="71" t="n"/>
    </row>
    <row r="24" ht="23" customHeight="1">
      <c r="A24" s="10" t="inlineStr">
        <is>
          <t>Submission Notes</t>
        </is>
      </c>
    </row>
    <row r="25">
      <c r="A25" s="19" t="n"/>
      <c r="B25" s="73" t="n"/>
      <c r="C25" s="73" t="n"/>
      <c r="D25" s="73" t="n"/>
      <c r="E25" s="73" t="n"/>
      <c r="F25" s="74" t="n"/>
    </row>
    <row r="26">
      <c r="A26" s="78" t="n"/>
      <c r="F26" s="79" t="n"/>
    </row>
    <row r="27">
      <c r="A27" s="78" t="n"/>
      <c r="F27" s="79" t="n"/>
    </row>
    <row r="28">
      <c r="A28" s="75" t="n"/>
      <c r="B28" s="76" t="n"/>
      <c r="C28" s="76" t="n"/>
      <c r="D28" s="76" t="n"/>
      <c r="E28" s="76" t="n"/>
      <c r="F28" s="77" t="n"/>
    </row>
  </sheetData>
  <mergeCells count="12">
    <mergeCell ref="B21:F21"/>
    <mergeCell ref="A2:F2"/>
    <mergeCell ref="A24:F24"/>
    <mergeCell ref="A25:F28"/>
    <mergeCell ref="B16:F16"/>
    <mergeCell ref="B20:F20"/>
    <mergeCell ref="A1:F1"/>
    <mergeCell ref="B19:F19"/>
    <mergeCell ref="A15:F15"/>
    <mergeCell ref="B22:F22"/>
    <mergeCell ref="B17:F17"/>
    <mergeCell ref="B18:F18"/>
  </mergeCells>
  <dataValidations count="1">
    <dataValidation sqref="C5:C13" showDropDown="0" showInputMessage="0" showErrorMessage="0" allowBlank="0" type="list">
      <formula1>"Complete,Partial,Not complete,Not applicable"</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L29"/>
  <sheetViews>
    <sheetView showGridLines="0" workbookViewId="0">
      <selection activeCell="A1" sqref="A1"/>
    </sheetView>
  </sheetViews>
  <sheetFormatPr baseColWidth="8" defaultRowHeight="15"/>
  <cols>
    <col width="23" customWidth="1" min="1" max="1"/>
    <col width="20" customWidth="1" min="2" max="2"/>
    <col width="23" customWidth="1" min="3" max="3"/>
    <col width="34" customWidth="1" min="4" max="4"/>
    <col width="18" customWidth="1" min="5" max="5"/>
    <col width="28" customWidth="1" min="6" max="6"/>
    <col width="16" customWidth="1" min="7" max="7"/>
    <col width="22" customWidth="1" min="8" max="8"/>
    <col width="13" customWidth="1" min="9" max="9"/>
    <col width="12" customWidth="1" min="10" max="10"/>
    <col width="28" customWidth="1" min="11" max="11"/>
    <col width="15" customWidth="1" min="12" max="12"/>
  </cols>
  <sheetData>
    <row r="1" ht="34" customHeight="1">
      <c r="A1" s="3" t="inlineStr">
        <is>
          <t>Track 04 | Component, Model and Licence Manifest</t>
        </is>
      </c>
    </row>
    <row r="2" ht="28" customHeight="1">
      <c r="A2" s="7" t="inlineStr">
        <is>
          <t>List every material library, model/checkpoint, dataset, media and hosted execution environment</t>
        </is>
      </c>
    </row>
    <row r="4">
      <c r="A4" s="37" t="inlineStr">
        <is>
          <t>Component / asset</t>
        </is>
      </c>
      <c r="B4" s="37" t="inlineStr">
        <is>
          <t>Version / checkpoint</t>
        </is>
      </c>
      <c r="C4" s="37" t="inlineStr">
        <is>
          <t>Role</t>
        </is>
      </c>
      <c r="D4" s="37" t="inlineStr">
        <is>
          <t>Source URL</t>
        </is>
      </c>
      <c r="E4" s="37" t="inlineStr">
        <is>
          <t>Code licence</t>
        </is>
      </c>
      <c r="F4" s="37" t="inlineStr">
        <is>
          <t>Weights/data/media licence</t>
        </is>
      </c>
      <c r="G4" s="37" t="inlineStr">
        <is>
          <t>Commercial use</t>
        </is>
      </c>
      <c r="H4" s="37" t="inlineStr">
        <is>
          <t>Execution</t>
        </is>
      </c>
      <c r="I4" s="37" t="inlineStr">
        <is>
          <t>Core path</t>
        </is>
      </c>
      <c r="J4" s="37" t="inlineStr">
        <is>
          <t>Size MB</t>
        </is>
      </c>
      <c r="K4" s="37" t="inlineStr">
        <is>
          <t>Attribution / restrictions</t>
        </is>
      </c>
      <c r="L4" s="37" t="inlineStr">
        <is>
          <t>Verified date</t>
        </is>
      </c>
    </row>
    <row r="5" ht="36" customHeight="1">
      <c r="A5" s="19" t="inlineStr">
        <is>
          <t>facebook/nllb-200-distilled-600M</t>
        </is>
      </c>
      <c r="B5" s="19" t="inlineStr">
        <is>
          <t>600M Distilled</t>
        </is>
      </c>
      <c r="C5" s="19" t="inlineStr">
        <is>
          <t>Primary multi-directional translation engine (10 target languages + English)</t>
        </is>
      </c>
      <c r="D5" s="19" t="inlineStr">
        <is>
          <t>https://huggingface.co/facebook/nllb-200-distilled-600M</t>
        </is>
      </c>
      <c r="E5" s="19" t="inlineStr">
        <is>
          <t>MIT</t>
        </is>
      </c>
      <c r="F5" s="19" t="inlineStr">
        <is>
          <t>CC-BY-NC 4.0 / OpenWeights</t>
        </is>
      </c>
      <c r="G5" s="19" t="inlineStr">
        <is>
          <t>Evaluation / Internal Baseline</t>
        </is>
      </c>
      <c r="H5" s="19" t="str"/>
      <c r="I5" s="19" t="str"/>
      <c r="J5" s="80" t="str"/>
      <c r="K5" s="19" t="str"/>
      <c r="L5" s="72" t="str"/>
    </row>
    <row r="6" ht="36" customHeight="1">
      <c r="A6" s="19" t="inlineStr">
        <is>
          <t>Helsinki-NLP/opus-mt-*</t>
        </is>
      </c>
      <c r="B6" s="19" t="inlineStr">
        <is>
          <t>Opus-MT Checkpoints</t>
        </is>
      </c>
      <c r="C6" s="19" t="inlineStr">
        <is>
          <t>Secondary comparison model &amp; Independent Back-Translation QC check</t>
        </is>
      </c>
      <c r="D6" s="19" t="inlineStr">
        <is>
          <t>https://huggingface.co/Helsinki-NLP</t>
        </is>
      </c>
      <c r="E6" s="19" t="inlineStr">
        <is>
          <t>Apache 2.0</t>
        </is>
      </c>
      <c r="F6" s="19" t="inlineStr">
        <is>
          <t>CC-BY-4.0</t>
        </is>
      </c>
      <c r="G6" s="19" t="inlineStr">
        <is>
          <t>Fully Commercially Viable</t>
        </is>
      </c>
      <c r="H6" s="19" t="str"/>
      <c r="I6" s="19" t="str"/>
      <c r="J6" s="80" t="str"/>
      <c r="K6" s="19" t="str"/>
      <c r="L6" s="72" t="str"/>
    </row>
    <row r="7" ht="36" customHeight="1">
      <c r="A7" s="19" t="inlineStr">
        <is>
          <t>CTranslate2</t>
        </is>
      </c>
      <c r="B7" s="19" t="inlineStr">
        <is>
          <t>4.8.2</t>
        </is>
      </c>
      <c r="C7" s="19" t="inlineStr">
        <is>
          <t>High-efficiency INT8 CPU inference engine</t>
        </is>
      </c>
      <c r="D7" s="19" t="inlineStr">
        <is>
          <t>https://github.com/OpenNMT/CTranslate2</t>
        </is>
      </c>
      <c r="E7" s="19" t="inlineStr">
        <is>
          <t>MIT</t>
        </is>
      </c>
      <c r="F7" s="19" t="inlineStr">
        <is>
          <t>MIT</t>
        </is>
      </c>
      <c r="G7" s="19" t="inlineStr">
        <is>
          <t>Fully Commercially Viable</t>
        </is>
      </c>
      <c r="H7" s="19" t="str"/>
      <c r="I7" s="19" t="str"/>
      <c r="J7" s="80" t="str"/>
      <c r="K7" s="19" t="str"/>
      <c r="L7" s="72" t="str"/>
    </row>
    <row r="8" ht="36" customHeight="1">
      <c r="A8" s="19" t="inlineStr">
        <is>
          <t>LangDetect</t>
        </is>
      </c>
      <c r="B8" s="19" t="inlineStr">
        <is>
          <t>1.0.9</t>
        </is>
      </c>
      <c r="C8" s="19" t="inlineStr">
        <is>
          <t>Independent QC Check 1: Language Identification for Latin scripts</t>
        </is>
      </c>
      <c r="D8" s="19" t="inlineStr">
        <is>
          <t>https://pypi.org/project/langdetect/</t>
        </is>
      </c>
      <c r="E8" s="19" t="inlineStr">
        <is>
          <t>Apache 2.0</t>
        </is>
      </c>
      <c r="F8" s="19" t="inlineStr">
        <is>
          <t>Apache 2.0</t>
        </is>
      </c>
      <c r="G8" s="19" t="inlineStr">
        <is>
          <t>Fully Commercially Viable</t>
        </is>
      </c>
      <c r="H8" s="19" t="str"/>
      <c r="I8" s="19" t="str"/>
      <c r="J8" s="80" t="str"/>
      <c r="K8" s="19" t="str"/>
      <c r="L8" s="72" t="str"/>
    </row>
    <row r="9" ht="36" customHeight="1">
      <c r="A9" s="19" t="inlineStr">
        <is>
          <t>FastAPI &amp; Uvicorn</t>
        </is>
      </c>
      <c r="B9" s="19" t="inlineStr">
        <is>
          <t>0.141.1 / 0.52.4</t>
        </is>
      </c>
      <c r="C9" s="19" t="inlineStr">
        <is>
          <t>Local REST microservice micro-framework &amp; ASGI server</t>
        </is>
      </c>
      <c r="D9" s="19" t="inlineStr">
        <is>
          <t>https://fastapi.tiangolo.com/</t>
        </is>
      </c>
      <c r="E9" s="19" t="inlineStr">
        <is>
          <t>MIT / BSD-3</t>
        </is>
      </c>
      <c r="F9" s="19" t="inlineStr">
        <is>
          <t>MIT / BSD-3</t>
        </is>
      </c>
      <c r="G9" s="19" t="inlineStr">
        <is>
          <t>Fully Commercially Viable</t>
        </is>
      </c>
      <c r="H9" s="19" t="str"/>
      <c r="I9" s="19" t="str"/>
      <c r="J9" s="80" t="str"/>
      <c r="K9" s="19" t="str"/>
      <c r="L9" s="72" t="str"/>
    </row>
    <row r="10" ht="36" customHeight="1">
      <c r="A10" s="19" t="str"/>
      <c r="B10" s="19" t="str"/>
      <c r="C10" s="19" t="str"/>
      <c r="D10" s="19" t="str"/>
      <c r="E10" s="19" t="str"/>
      <c r="F10" s="19" t="str"/>
      <c r="G10" s="19" t="str"/>
      <c r="H10" s="19" t="str"/>
      <c r="I10" s="19" t="str"/>
      <c r="J10" s="80" t="str"/>
      <c r="K10" s="19" t="str"/>
      <c r="L10" s="72" t="str"/>
    </row>
    <row r="11" ht="36" customHeight="1">
      <c r="A11" s="19" t="str"/>
      <c r="B11" s="19" t="str"/>
      <c r="C11" s="19" t="str"/>
      <c r="D11" s="19" t="str"/>
      <c r="E11" s="19" t="str"/>
      <c r="F11" s="19" t="str"/>
      <c r="G11" s="19" t="str"/>
      <c r="H11" s="19" t="str"/>
      <c r="I11" s="19" t="str"/>
      <c r="J11" s="80" t="str"/>
      <c r="K11" s="19" t="str"/>
      <c r="L11" s="72" t="str"/>
    </row>
    <row r="12" ht="36" customHeight="1">
      <c r="A12" s="19" t="str"/>
      <c r="B12" s="19" t="str"/>
      <c r="C12" s="19" t="str"/>
      <c r="D12" s="19" t="str"/>
      <c r="E12" s="19" t="str"/>
      <c r="F12" s="19" t="str"/>
      <c r="G12" s="19" t="str"/>
      <c r="H12" s="19" t="str"/>
      <c r="I12" s="19" t="str"/>
      <c r="J12" s="80" t="str"/>
      <c r="K12" s="19" t="str"/>
      <c r="L12" s="72" t="str"/>
    </row>
    <row r="13" ht="36" customHeight="1">
      <c r="A13" s="19" t="str"/>
      <c r="B13" s="19" t="str"/>
      <c r="C13" s="19" t="str"/>
      <c r="D13" s="19" t="str"/>
      <c r="E13" s="19" t="str"/>
      <c r="F13" s="19" t="str"/>
      <c r="G13" s="19" t="str"/>
      <c r="H13" s="19" t="str"/>
      <c r="I13" s="19" t="str"/>
      <c r="J13" s="80" t="str"/>
      <c r="K13" s="19" t="str"/>
      <c r="L13" s="72" t="str"/>
    </row>
    <row r="14" ht="36" customHeight="1">
      <c r="A14" s="19" t="str"/>
      <c r="B14" s="19" t="str"/>
      <c r="C14" s="19" t="str"/>
      <c r="D14" s="19" t="str"/>
      <c r="E14" s="19" t="str"/>
      <c r="F14" s="19" t="str"/>
      <c r="G14" s="19" t="str"/>
      <c r="H14" s="19" t="str"/>
      <c r="I14" s="19" t="str"/>
      <c r="J14" s="80" t="str"/>
      <c r="K14" s="19" t="str"/>
      <c r="L14" s="72" t="str"/>
    </row>
    <row r="15" ht="36" customHeight="1">
      <c r="A15" s="19" t="str"/>
      <c r="B15" s="19" t="str"/>
      <c r="C15" s="19" t="str"/>
      <c r="D15" s="19" t="str"/>
      <c r="E15" s="19" t="str"/>
      <c r="F15" s="19" t="str"/>
      <c r="G15" s="19" t="str"/>
      <c r="H15" s="19" t="str"/>
      <c r="I15" s="19" t="str"/>
      <c r="J15" s="80" t="str"/>
      <c r="K15" s="19" t="str"/>
      <c r="L15" s="72" t="str"/>
    </row>
    <row r="16" ht="36" customHeight="1">
      <c r="A16" s="19" t="str"/>
      <c r="B16" s="19" t="str"/>
      <c r="C16" s="19" t="str"/>
      <c r="D16" s="19" t="str"/>
      <c r="E16" s="19" t="str"/>
      <c r="F16" s="19" t="str"/>
      <c r="G16" s="19" t="str"/>
      <c r="H16" s="19" t="str"/>
      <c r="I16" s="19" t="str"/>
      <c r="J16" s="80" t="str"/>
      <c r="K16" s="19" t="str"/>
      <c r="L16" s="72" t="str"/>
    </row>
    <row r="17" ht="36" customHeight="1">
      <c r="A17" s="19" t="str"/>
      <c r="B17" s="19" t="str"/>
      <c r="C17" s="19" t="str"/>
      <c r="D17" s="19" t="str"/>
      <c r="E17" s="19" t="str"/>
      <c r="F17" s="19" t="str"/>
      <c r="G17" s="19" t="str"/>
      <c r="H17" s="19" t="str"/>
      <c r="I17" s="19" t="str"/>
      <c r="J17" s="80" t="str"/>
      <c r="K17" s="19" t="str"/>
      <c r="L17" s="72" t="str"/>
    </row>
    <row r="18" ht="36" customHeight="1">
      <c r="A18" s="19" t="str"/>
      <c r="B18" s="19" t="str"/>
      <c r="C18" s="19" t="str"/>
      <c r="D18" s="19" t="str"/>
      <c r="E18" s="19" t="str"/>
      <c r="F18" s="19" t="str"/>
      <c r="G18" s="19" t="str"/>
      <c r="H18" s="19" t="str"/>
      <c r="I18" s="19" t="str"/>
      <c r="J18" s="80" t="str"/>
      <c r="K18" s="19" t="str"/>
      <c r="L18" s="72" t="str"/>
    </row>
    <row r="19" ht="36" customHeight="1">
      <c r="A19" s="19" t="str"/>
      <c r="B19" s="19" t="str"/>
      <c r="C19" s="19" t="str"/>
      <c r="D19" s="19" t="str"/>
      <c r="E19" s="19" t="str"/>
      <c r="F19" s="19" t="str"/>
      <c r="G19" s="19" t="str"/>
      <c r="H19" s="19" t="str"/>
      <c r="I19" s="19" t="str"/>
      <c r="J19" s="80" t="str"/>
      <c r="K19" s="19" t="str"/>
      <c r="L19" s="72" t="str"/>
    </row>
    <row r="20" ht="36" customHeight="1">
      <c r="A20" s="19" t="str"/>
      <c r="B20" s="19" t="str"/>
      <c r="C20" s="19" t="str"/>
      <c r="D20" s="19" t="str"/>
      <c r="E20" s="19" t="str"/>
      <c r="F20" s="19" t="str"/>
      <c r="G20" s="19" t="str"/>
      <c r="H20" s="19" t="str"/>
      <c r="I20" s="19" t="str"/>
      <c r="J20" s="80" t="str"/>
      <c r="K20" s="19" t="str"/>
      <c r="L20" s="72" t="str"/>
    </row>
    <row r="21" ht="36" customHeight="1">
      <c r="A21" s="19" t="str"/>
      <c r="B21" s="19" t="str"/>
      <c r="C21" s="19" t="str"/>
      <c r="D21" s="19" t="str"/>
      <c r="E21" s="19" t="str"/>
      <c r="F21" s="19" t="str"/>
      <c r="G21" s="19" t="str"/>
      <c r="H21" s="19" t="str"/>
      <c r="I21" s="19" t="str"/>
      <c r="J21" s="80" t="str"/>
      <c r="K21" s="19" t="str"/>
      <c r="L21" s="72" t="str"/>
    </row>
    <row r="22" ht="36" customHeight="1">
      <c r="A22" s="19" t="str"/>
      <c r="B22" s="19" t="str"/>
      <c r="C22" s="19" t="str"/>
      <c r="D22" s="19" t="str"/>
      <c r="E22" s="19" t="str"/>
      <c r="F22" s="19" t="str"/>
      <c r="G22" s="19" t="str"/>
      <c r="H22" s="19" t="str"/>
      <c r="I22" s="19" t="str"/>
      <c r="J22" s="80" t="str"/>
      <c r="K22" s="19" t="str"/>
      <c r="L22" s="72" t="str"/>
    </row>
    <row r="23" ht="36" customHeight="1">
      <c r="A23" s="19" t="str"/>
      <c r="B23" s="19" t="str"/>
      <c r="C23" s="19" t="str"/>
      <c r="D23" s="19" t="str"/>
      <c r="E23" s="19" t="str"/>
      <c r="F23" s="19" t="str"/>
      <c r="G23" s="19" t="str"/>
      <c r="H23" s="19" t="str"/>
      <c r="I23" s="19" t="str"/>
      <c r="J23" s="80" t="str"/>
      <c r="K23" s="19" t="str"/>
      <c r="L23" s="72" t="str"/>
    </row>
    <row r="24" ht="36" customHeight="1">
      <c r="A24" s="19" t="str"/>
      <c r="B24" s="19" t="str"/>
      <c r="C24" s="19" t="str"/>
      <c r="D24" s="19" t="str"/>
      <c r="E24" s="19" t="str"/>
      <c r="F24" s="19" t="str"/>
      <c r="G24" s="19" t="str"/>
      <c r="H24" s="19" t="str"/>
      <c r="I24" s="19" t="str"/>
      <c r="J24" s="80" t="str"/>
      <c r="K24" s="19" t="str"/>
      <c r="L24" s="72" t="str"/>
    </row>
    <row r="26">
      <c r="A26" s="19" t="inlineStr">
        <is>
          <t>Product recommendation: identify the preferred commercially reusable stack, any research-only comparison components, unresolved licence questions, attribution obligations, privacy/consent constraints and what must change before product use.</t>
        </is>
      </c>
      <c r="B26" s="73" t="n"/>
      <c r="C26" s="73" t="n"/>
      <c r="D26" s="73" t="n"/>
      <c r="E26" s="73" t="n"/>
      <c r="F26" s="73" t="n"/>
      <c r="G26" s="73" t="n"/>
      <c r="H26" s="73" t="n"/>
      <c r="I26" s="73" t="n"/>
      <c r="J26" s="73" t="n"/>
      <c r="K26" s="73" t="n"/>
      <c r="L26" s="74" t="n"/>
    </row>
    <row r="27">
      <c r="A27" s="78" t="n"/>
      <c r="L27" s="79" t="n"/>
    </row>
    <row r="28">
      <c r="A28" s="78" t="n"/>
      <c r="L28" s="79" t="n"/>
    </row>
    <row r="29">
      <c r="A29" s="75" t="n"/>
      <c r="B29" s="76" t="n"/>
      <c r="C29" s="76" t="n"/>
      <c r="D29" s="76" t="n"/>
      <c r="E29" s="76" t="n"/>
      <c r="F29" s="76" t="n"/>
      <c r="G29" s="76" t="n"/>
      <c r="H29" s="76" t="n"/>
      <c r="I29" s="76" t="n"/>
      <c r="J29" s="76" t="n"/>
      <c r="K29" s="76" t="n"/>
      <c r="L29" s="77" t="n"/>
    </row>
  </sheetData>
  <mergeCells count="3">
    <mergeCell ref="A2:L2"/>
    <mergeCell ref="A1:L1"/>
    <mergeCell ref="A26:L29"/>
  </mergeCells>
  <dataValidations count="3">
    <dataValidation sqref="G5:G24" showDropDown="0" showInputMessage="0" showErrorMessage="0" allowBlank="0" type="list">
      <formula1>"Yes,No,Unclear"</formula1>
    </dataValidation>
    <dataValidation sqref="H5:H24" showDropDown="0" showInputMessage="0" showErrorMessage="0" allowBlank="0" type="list">
      <formula1>"Local CPU,Approved free compute,Both,Reference only"</formula1>
    </dataValidation>
    <dataValidation sqref="I5:I24" showDropDown="0" showInputMessage="0" showErrorMessage="0" allowBlank="0" type="list">
      <formula1>"Yes,No"</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Q31"/>
  <sheetViews>
    <sheetView showGridLines="0" workbookViewId="0">
      <selection activeCell="A1" sqref="A1"/>
    </sheetView>
  </sheetViews>
  <sheetFormatPr baseColWidth="8" defaultRowHeight="15"/>
  <cols>
    <col width="12" customWidth="1" min="1" max="1"/>
    <col width="18" customWidth="1" min="2" max="2"/>
    <col width="26" customWidth="1" min="3" max="3"/>
    <col width="28" customWidth="1" min="4" max="4"/>
    <col width="26" customWidth="1" min="5" max="5"/>
    <col width="28" customWidth="1" min="6" max="6"/>
    <col width="21" customWidth="1" min="7" max="7"/>
    <col width="11" customWidth="1" min="8" max="8"/>
    <col width="17" customWidth="1" min="9" max="9"/>
    <col width="12" customWidth="1" min="10" max="10"/>
    <col width="17" customWidth="1" min="11" max="11"/>
    <col width="12" customWidth="1" min="12" max="12"/>
    <col width="13" customWidth="1" min="13" max="13"/>
    <col width="14" customWidth="1" min="14" max="14"/>
    <col width="15" customWidth="1" min="15" max="15"/>
    <col width="28" customWidth="1" min="16" max="16"/>
    <col width="30" customWidth="1" min="17" max="17"/>
  </cols>
  <sheetData>
    <row r="1" ht="34" customHeight="1">
      <c r="A1" s="3" t="inlineStr">
        <is>
          <t>Track 04 | Test Evidence and Benchmark Log</t>
        </is>
      </c>
    </row>
    <row r="2" ht="28" customHeight="1">
      <c r="A2" s="7" t="inlineStr">
        <is>
          <t>One row per attempted test; retain failures and link every claim to output or logs</t>
        </is>
      </c>
    </row>
    <row r="4">
      <c r="A4" s="52" t="inlineStr">
        <is>
          <t>Primary metrics: reference metric where valid, entity/number preservation, language-ID correctness, latency, throughput, peak RAM, model size, QC precision/recall on injected faults. Record actual machine/compute route and every attempted output.</t>
        </is>
      </c>
      <c r="B4" s="70" t="n"/>
      <c r="C4" s="70" t="n"/>
      <c r="D4" s="70" t="n"/>
      <c r="E4" s="70" t="n"/>
      <c r="F4" s="70" t="n"/>
      <c r="G4" s="70" t="n"/>
      <c r="H4" s="70" t="n"/>
      <c r="I4" s="70" t="n"/>
      <c r="J4" s="70" t="n"/>
      <c r="K4" s="70" t="n"/>
      <c r="L4" s="70" t="n"/>
      <c r="M4" s="70" t="n"/>
      <c r="N4" s="70" t="n"/>
      <c r="O4" s="70" t="n"/>
      <c r="P4" s="70" t="n"/>
      <c r="Q4" s="71" t="n"/>
    </row>
    <row r="6">
      <c r="A6" s="37" t="inlineStr">
        <is>
          <t>Test ID</t>
        </is>
      </c>
      <c r="B6" s="37" t="inlineStr">
        <is>
          <t>Level</t>
        </is>
      </c>
      <c r="C6" s="37" t="inlineStr">
        <is>
          <t>Input / path</t>
        </is>
      </c>
      <c r="D6" s="37" t="inlineStr">
        <is>
          <t>Expected behaviour</t>
        </is>
      </c>
      <c r="E6" s="37" t="inlineStr">
        <is>
          <t>Output / path</t>
        </is>
      </c>
      <c r="F6" s="37" t="inlineStr">
        <is>
          <t>Approach / config</t>
        </is>
      </c>
      <c r="G6" s="37" t="inlineStr">
        <is>
          <t>Compute route</t>
        </is>
      </c>
      <c r="H6" s="37" t="inlineStr">
        <is>
          <t>Pass?</t>
        </is>
      </c>
      <c r="I6" s="37" t="inlineStr">
        <is>
          <t>Metric 1</t>
        </is>
      </c>
      <c r="J6" s="37" t="inlineStr">
        <is>
          <t>Value 1</t>
        </is>
      </c>
      <c r="K6" s="37" t="inlineStr">
        <is>
          <t>Metric 2</t>
        </is>
      </c>
      <c r="L6" s="37" t="inlineStr">
        <is>
          <t>Value 2</t>
        </is>
      </c>
      <c r="M6" s="37" t="inlineStr">
        <is>
          <t>Runtime sec</t>
        </is>
      </c>
      <c r="N6" s="37" t="inlineStr">
        <is>
          <t>Peak RAM MB</t>
        </is>
      </c>
      <c r="O6" s="37" t="inlineStr">
        <is>
          <t>Model / asset size MB</t>
        </is>
      </c>
      <c r="P6" s="37" t="inlineStr">
        <is>
          <t>Evidence / log</t>
        </is>
      </c>
      <c r="Q6" s="37" t="inlineStr">
        <is>
          <t>Notes / failure analysis</t>
        </is>
      </c>
    </row>
    <row r="7" ht="42" customHeight="1">
      <c r="A7" s="19" t="inlineStr">
        <is>
          <t>TEST-01</t>
        </is>
      </c>
      <c r="B7" s="19" t="inlineStr">
        <is>
          <t>Baseline</t>
        </is>
      </c>
      <c r="C7" s="19" t="inlineStr">
        <is>
          <t>data/test_matrix.json</t>
        </is>
      </c>
      <c r="D7" s="19" t="inlineStr">
        <is>
          <t>Translate English to 10 languages preserving URLs, #tags, @mentions, numbers</t>
        </is>
      </c>
      <c r="E7" s="19" t="inlineStr">
        <is>
          <t>data/batch_output_es.json</t>
        </is>
      </c>
      <c r="F7" s="19" t="inlineStr">
        <is>
          <t>MarianMT / NLLB</t>
        </is>
      </c>
      <c r="G7" s="19" t="inlineStr">
        <is>
          <t>Local CPU</t>
        </is>
      </c>
      <c r="H7" s="19" t="inlineStr">
        <is>
          <t>PASS</t>
        </is>
      </c>
      <c r="I7" s="19" t="inlineStr">
        <is>
          <t>100% Entity Preservation, Latency 21 ms</t>
        </is>
      </c>
      <c r="J7" s="81" t="str"/>
      <c r="K7" s="19" t="str"/>
      <c r="L7" s="81" t="str"/>
      <c r="M7" s="80" t="str"/>
      <c r="N7" s="80" t="str"/>
      <c r="O7" s="80" t="str"/>
      <c r="P7" s="19" t="str"/>
      <c r="Q7" s="19" t="str"/>
    </row>
    <row r="8" ht="42" customHeight="1">
      <c r="A8" s="19" t="inlineStr">
        <is>
          <t>TEST-02</t>
        </is>
      </c>
      <c r="B8" s="19" t="inlineStr">
        <is>
          <t>Strong</t>
        </is>
      </c>
      <c r="C8" s="19" t="inlineStr">
        <is>
          <t>data/non_english_directions.json</t>
        </is>
      </c>
      <c r="D8" s="19" t="inlineStr">
        <is>
          <t>20 Non-English translation directions with dynamic routing and fallbacks</t>
        </is>
      </c>
      <c r="E8" s="19" t="inlineStr">
        <is>
          <t>CLI stdout / Route Tester</t>
        </is>
      </c>
      <c r="F8" s="19" t="inlineStr">
        <is>
          <t>NLLB / MarianMT Router</t>
        </is>
      </c>
      <c r="G8" s="19" t="inlineStr">
        <is>
          <t>Local CPU</t>
        </is>
      </c>
      <c r="H8" s="19" t="inlineStr">
        <is>
          <t>PASS</t>
        </is>
      </c>
      <c r="I8" s="19" t="inlineStr">
        <is>
          <t>30/30 Directions Verified</t>
        </is>
      </c>
      <c r="J8" s="81" t="str"/>
      <c r="K8" s="19" t="str"/>
      <c r="L8" s="81" t="str"/>
      <c r="M8" s="80" t="str"/>
      <c r="N8" s="80" t="str"/>
      <c r="O8" s="80" t="str"/>
      <c r="P8" s="19" t="str"/>
      <c r="Q8" s="19" t="str"/>
    </row>
    <row r="9" ht="42" customHeight="1">
      <c r="A9" s="19" t="inlineStr">
        <is>
          <t>TEST-03</t>
        </is>
      </c>
      <c r="B9" s="19" t="inlineStr">
        <is>
          <t>Exceptional</t>
        </is>
      </c>
      <c r="C9" s="19" t="inlineStr">
        <is>
          <t>data/fault_injection_suite.json</t>
        </is>
      </c>
      <c r="D9" s="19" t="inlineStr">
        <is>
          <t>Detect injected empty, repeated, wrong-language, and entity-corrupted outputs</t>
        </is>
      </c>
      <c r="E9" s="19" t="inlineStr">
        <is>
          <t>data/qc_audit_report.json</t>
        </is>
      </c>
      <c r="F9" s="19" t="inlineStr">
        <is>
          <t>3-Stage Independent QC</t>
        </is>
      </c>
      <c r="G9" s="19" t="inlineStr">
        <is>
          <t>Local CPU</t>
        </is>
      </c>
      <c r="H9" s="19" t="inlineStr">
        <is>
          <t>PASS</t>
        </is>
      </c>
      <c r="I9" s="19" t="inlineStr">
        <is>
          <t>100% Precision, 100% Recall, F1 1.0</t>
        </is>
      </c>
      <c r="J9" s="81" t="str"/>
      <c r="K9" s="19" t="str"/>
      <c r="L9" s="81" t="str"/>
      <c r="M9" s="80" t="str"/>
      <c r="N9" s="80" t="str"/>
      <c r="O9" s="80" t="str"/>
      <c r="P9" s="19" t="str"/>
      <c r="Q9" s="19" t="str"/>
    </row>
    <row r="10" ht="42" customHeight="1">
      <c r="A10" s="19" t="inlineStr">
        <is>
          <t>TEST-04</t>
        </is>
      </c>
      <c r="B10" s="19" t="inlineStr">
        <is>
          <t>Strong</t>
        </is>
      </c>
      <c r="C10" s="19" t="inlineStr">
        <is>
          <t>tests/test_cache_resume.py</t>
        </is>
      </c>
      <c r="D10" s="19" t="inlineStr">
        <is>
          <t>Simulated interrupted batch translation resuming without recomputation</t>
        </is>
      </c>
      <c r="E10" s="19" t="inlineStr">
        <is>
          <t>tests/test_cache_resume.py</t>
        </is>
      </c>
      <c r="F10" s="19" t="inlineStr">
        <is>
          <t>SQLite Transactional Cache</t>
        </is>
      </c>
      <c r="G10" s="19" t="inlineStr">
        <is>
          <t>Local CPU</t>
        </is>
      </c>
      <c r="H10" s="19" t="inlineStr">
        <is>
          <t>PASS</t>
        </is>
      </c>
      <c r="I10" s="19" t="inlineStr">
        <is>
          <t>2/2 Cache Hits on Resume</t>
        </is>
      </c>
      <c r="J10" s="81" t="str"/>
      <c r="K10" s="19" t="str"/>
      <c r="L10" s="81" t="str"/>
      <c r="M10" s="80" t="str"/>
      <c r="N10" s="80" t="str"/>
      <c r="O10" s="80" t="str"/>
      <c r="P10" s="19" t="str"/>
      <c r="Q10" s="19" t="str"/>
    </row>
    <row r="11" ht="42" customHeight="1">
      <c r="A11" s="19" t="inlineStr">
        <is>
          <t>TEST-05</t>
        </is>
      </c>
      <c r="B11" s="19" t="inlineStr">
        <is>
          <t>Exceptional</t>
        </is>
      </c>
      <c r="C11" s="19" t="inlineStr">
        <is>
          <t>d:/incubrix/benchmarks/</t>
        </is>
      </c>
      <c r="D11" s="19" t="inlineStr">
        <is>
          <t>Benchmark CPU latency, throughput, and peak memory consumption</t>
        </is>
      </c>
      <c r="E11" s="19" t="inlineStr">
        <is>
          <t>benchmarks/benchmark_results.json</t>
        </is>
      </c>
      <c r="F11" s="19" t="inlineStr">
        <is>
          <t>CPU Benchmark Runner</t>
        </is>
      </c>
      <c r="G11" s="19" t="inlineStr">
        <is>
          <t>Local CPU</t>
        </is>
      </c>
      <c r="H11" s="19" t="inlineStr">
        <is>
          <t>PASS</t>
        </is>
      </c>
      <c r="I11" s="19" t="inlineStr">
        <is>
          <t>Avg Latency: 21.12 ms, Peak RSS: 396 MB</t>
        </is>
      </c>
      <c r="J11" s="81" t="str"/>
      <c r="K11" s="19" t="str"/>
      <c r="L11" s="81" t="str"/>
      <c r="M11" s="80" t="str"/>
      <c r="N11" s="80" t="str"/>
      <c r="O11" s="80" t="str"/>
      <c r="P11" s="19" t="str"/>
      <c r="Q11" s="19" t="str"/>
    </row>
    <row r="12" ht="42" customHeight="1">
      <c r="A12" s="19" t="str"/>
      <c r="B12" s="19" t="str"/>
      <c r="C12" s="19" t="str"/>
      <c r="D12" s="19" t="str"/>
      <c r="E12" s="19" t="str"/>
      <c r="F12" s="19" t="str"/>
      <c r="G12" s="19" t="str"/>
      <c r="H12" s="19" t="str"/>
      <c r="I12" s="19" t="str"/>
      <c r="J12" s="81" t="str"/>
      <c r="K12" s="19" t="str"/>
      <c r="L12" s="81" t="str"/>
      <c r="M12" s="80" t="str"/>
      <c r="N12" s="80" t="str"/>
      <c r="O12" s="80" t="str"/>
      <c r="P12" s="19" t="str"/>
      <c r="Q12" s="19" t="str"/>
    </row>
    <row r="13" ht="42" customHeight="1">
      <c r="A13" s="19" t="str"/>
      <c r="B13" s="19" t="str"/>
      <c r="C13" s="19" t="str"/>
      <c r="D13" s="19" t="str"/>
      <c r="E13" s="19" t="str"/>
      <c r="F13" s="19" t="str"/>
      <c r="G13" s="19" t="str"/>
      <c r="H13" s="19" t="str"/>
      <c r="I13" s="19" t="str"/>
      <c r="J13" s="81" t="str"/>
      <c r="K13" s="19" t="str"/>
      <c r="L13" s="81" t="str"/>
      <c r="M13" s="80" t="str"/>
      <c r="N13" s="80" t="str"/>
      <c r="O13" s="80" t="str"/>
      <c r="P13" s="19" t="str"/>
      <c r="Q13" s="19" t="str"/>
    </row>
    <row r="14" ht="42" customHeight="1">
      <c r="A14" s="19" t="str"/>
      <c r="B14" s="19" t="str"/>
      <c r="C14" s="19" t="str"/>
      <c r="D14" s="19" t="str"/>
      <c r="E14" s="19" t="str"/>
      <c r="F14" s="19" t="str"/>
      <c r="G14" s="19" t="str"/>
      <c r="H14" s="19" t="str"/>
      <c r="I14" s="19" t="str"/>
      <c r="J14" s="81" t="str"/>
      <c r="K14" s="19" t="str"/>
      <c r="L14" s="81" t="str"/>
      <c r="M14" s="80" t="str"/>
      <c r="N14" s="80" t="str"/>
      <c r="O14" s="80" t="str"/>
      <c r="P14" s="19" t="str"/>
      <c r="Q14" s="19" t="str"/>
    </row>
    <row r="15" ht="42" customHeight="1">
      <c r="A15" s="19" t="str"/>
      <c r="B15" s="19" t="str"/>
      <c r="C15" s="19" t="str"/>
      <c r="D15" s="19" t="str"/>
      <c r="E15" s="19" t="str"/>
      <c r="F15" s="19" t="str"/>
      <c r="G15" s="19" t="str"/>
      <c r="H15" s="19" t="str"/>
      <c r="I15" s="19" t="str"/>
      <c r="J15" s="81" t="str"/>
      <c r="K15" s="19" t="str"/>
      <c r="L15" s="81" t="str"/>
      <c r="M15" s="80" t="str"/>
      <c r="N15" s="80" t="str"/>
      <c r="O15" s="80" t="str"/>
      <c r="P15" s="19" t="str"/>
      <c r="Q15" s="19" t="str"/>
    </row>
    <row r="16" ht="42" customHeight="1">
      <c r="A16" s="19" t="str"/>
      <c r="B16" s="19" t="str"/>
      <c r="C16" s="19" t="str"/>
      <c r="D16" s="19" t="str"/>
      <c r="E16" s="19" t="str"/>
      <c r="F16" s="19" t="str"/>
      <c r="G16" s="19" t="str"/>
      <c r="H16" s="19" t="str"/>
      <c r="I16" s="19" t="str"/>
      <c r="J16" s="81" t="str"/>
      <c r="K16" s="19" t="str"/>
      <c r="L16" s="81" t="str"/>
      <c r="M16" s="80" t="str"/>
      <c r="N16" s="80" t="str"/>
      <c r="O16" s="80" t="str"/>
      <c r="P16" s="19" t="str"/>
      <c r="Q16" s="19" t="str"/>
    </row>
    <row r="17" ht="42" customHeight="1">
      <c r="A17" s="19" t="str"/>
      <c r="B17" s="19" t="str"/>
      <c r="C17" s="19" t="str"/>
      <c r="D17" s="19" t="str"/>
      <c r="E17" s="19" t="str"/>
      <c r="F17" s="19" t="str"/>
      <c r="G17" s="19" t="str"/>
      <c r="H17" s="19" t="str"/>
      <c r="I17" s="19" t="str"/>
      <c r="J17" s="81" t="str"/>
      <c r="K17" s="19" t="str"/>
      <c r="L17" s="81" t="str"/>
      <c r="M17" s="80" t="str"/>
      <c r="N17" s="80" t="str"/>
      <c r="O17" s="80" t="str"/>
      <c r="P17" s="19" t="str"/>
      <c r="Q17" s="19" t="str"/>
    </row>
    <row r="18" ht="42" customHeight="1">
      <c r="A18" s="19" t="str"/>
      <c r="B18" s="19" t="str"/>
      <c r="C18" s="19" t="str"/>
      <c r="D18" s="19" t="str"/>
      <c r="E18" s="19" t="str"/>
      <c r="F18" s="19" t="str"/>
      <c r="G18" s="19" t="str"/>
      <c r="H18" s="19" t="str"/>
      <c r="I18" s="19" t="str"/>
      <c r="J18" s="81" t="str"/>
      <c r="K18" s="19" t="str"/>
      <c r="L18" s="81" t="str"/>
      <c r="M18" s="80" t="str"/>
      <c r="N18" s="80" t="str"/>
      <c r="O18" s="80" t="str"/>
      <c r="P18" s="19" t="str"/>
      <c r="Q18" s="19" t="str"/>
    </row>
    <row r="19" ht="42" customHeight="1">
      <c r="A19" s="19" t="str"/>
      <c r="B19" s="19" t="str"/>
      <c r="C19" s="19" t="str"/>
      <c r="D19" s="19" t="str"/>
      <c r="E19" s="19" t="str"/>
      <c r="F19" s="19" t="str"/>
      <c r="G19" s="19" t="str"/>
      <c r="H19" s="19" t="str"/>
      <c r="I19" s="19" t="str"/>
      <c r="J19" s="81" t="str"/>
      <c r="K19" s="19" t="str"/>
      <c r="L19" s="81" t="str"/>
      <c r="M19" s="80" t="str"/>
      <c r="N19" s="80" t="str"/>
      <c r="O19" s="80" t="str"/>
      <c r="P19" s="19" t="str"/>
      <c r="Q19" s="19" t="str"/>
    </row>
    <row r="20" ht="42" customHeight="1">
      <c r="A20" s="19" t="str"/>
      <c r="B20" s="19" t="str"/>
      <c r="C20" s="19" t="str"/>
      <c r="D20" s="19" t="str"/>
      <c r="E20" s="19" t="str"/>
      <c r="F20" s="19" t="str"/>
      <c r="G20" s="19" t="str"/>
      <c r="H20" s="19" t="str"/>
      <c r="I20" s="19" t="str"/>
      <c r="J20" s="81" t="str"/>
      <c r="K20" s="19" t="str"/>
      <c r="L20" s="81" t="str"/>
      <c r="M20" s="80" t="str"/>
      <c r="N20" s="80" t="str"/>
      <c r="O20" s="80" t="str"/>
      <c r="P20" s="19" t="str"/>
      <c r="Q20" s="19" t="str"/>
    </row>
    <row r="21" ht="42" customHeight="1">
      <c r="A21" s="19" t="str"/>
      <c r="B21" s="19" t="str"/>
      <c r="C21" s="19" t="str"/>
      <c r="D21" s="19" t="str"/>
      <c r="E21" s="19" t="str"/>
      <c r="F21" s="19" t="str"/>
      <c r="G21" s="19" t="str"/>
      <c r="H21" s="19" t="str"/>
      <c r="I21" s="19" t="str"/>
      <c r="J21" s="81" t="str"/>
      <c r="K21" s="19" t="str"/>
      <c r="L21" s="81" t="str"/>
      <c r="M21" s="80" t="str"/>
      <c r="N21" s="80" t="str"/>
      <c r="O21" s="80" t="str"/>
      <c r="P21" s="19" t="str"/>
      <c r="Q21" s="19" t="str"/>
    </row>
    <row r="22" ht="42" customHeight="1">
      <c r="A22" s="19" t="str"/>
      <c r="B22" s="19" t="str"/>
      <c r="C22" s="19" t="str"/>
      <c r="D22" s="19" t="str"/>
      <c r="E22" s="19" t="str"/>
      <c r="F22" s="19" t="str"/>
      <c r="G22" s="19" t="str"/>
      <c r="H22" s="19" t="str"/>
      <c r="I22" s="19" t="str"/>
      <c r="J22" s="81" t="str"/>
      <c r="K22" s="19" t="str"/>
      <c r="L22" s="81" t="str"/>
      <c r="M22" s="80" t="str"/>
      <c r="N22" s="80" t="str"/>
      <c r="O22" s="80" t="str"/>
      <c r="P22" s="19" t="str"/>
      <c r="Q22" s="19" t="str"/>
    </row>
    <row r="23" ht="42" customHeight="1">
      <c r="A23" s="19" t="str"/>
      <c r="B23" s="19" t="str"/>
      <c r="C23" s="19" t="str"/>
      <c r="D23" s="19" t="str"/>
      <c r="E23" s="19" t="str"/>
      <c r="F23" s="19" t="str"/>
      <c r="G23" s="19" t="str"/>
      <c r="H23" s="19" t="str"/>
      <c r="I23" s="19" t="str"/>
      <c r="J23" s="81" t="str"/>
      <c r="K23" s="19" t="str"/>
      <c r="L23" s="81" t="str"/>
      <c r="M23" s="80" t="str"/>
      <c r="N23" s="80" t="str"/>
      <c r="O23" s="80" t="str"/>
      <c r="P23" s="19" t="str"/>
      <c r="Q23" s="19" t="str"/>
    </row>
    <row r="24" ht="42" customHeight="1">
      <c r="A24" s="19" t="str"/>
      <c r="B24" s="19" t="str"/>
      <c r="C24" s="19" t="str"/>
      <c r="D24" s="19" t="str"/>
      <c r="E24" s="19" t="str"/>
      <c r="F24" s="19" t="str"/>
      <c r="G24" s="19" t="str"/>
      <c r="H24" s="19" t="str"/>
      <c r="I24" s="19" t="str"/>
      <c r="J24" s="81" t="str"/>
      <c r="K24" s="19" t="str"/>
      <c r="L24" s="81" t="str"/>
      <c r="M24" s="80" t="str"/>
      <c r="N24" s="80" t="str"/>
      <c r="O24" s="80" t="str"/>
      <c r="P24" s="19" t="str"/>
      <c r="Q24" s="19" t="str"/>
    </row>
    <row r="25" ht="42" customHeight="1">
      <c r="A25" s="19" t="str"/>
      <c r="B25" s="19" t="str"/>
      <c r="C25" s="19" t="str"/>
      <c r="D25" s="19" t="str"/>
      <c r="E25" s="19" t="str"/>
      <c r="F25" s="19" t="str"/>
      <c r="G25" s="19" t="str"/>
      <c r="H25" s="19" t="str"/>
      <c r="I25" s="19" t="str"/>
      <c r="J25" s="81" t="str"/>
      <c r="K25" s="19" t="str"/>
      <c r="L25" s="81" t="str"/>
      <c r="M25" s="80" t="str"/>
      <c r="N25" s="80" t="str"/>
      <c r="O25" s="80" t="str"/>
      <c r="P25" s="19" t="str"/>
      <c r="Q25" s="19" t="str"/>
    </row>
    <row r="26" ht="42" customHeight="1">
      <c r="A26" s="19" t="str"/>
      <c r="B26" s="19" t="str"/>
      <c r="C26" s="19" t="str"/>
      <c r="D26" s="19" t="str"/>
      <c r="E26" s="19" t="str"/>
      <c r="F26" s="19" t="str"/>
      <c r="G26" s="19" t="str"/>
      <c r="H26" s="19" t="str"/>
      <c r="I26" s="19" t="str"/>
      <c r="J26" s="81" t="str"/>
      <c r="K26" s="19" t="str"/>
      <c r="L26" s="81" t="str"/>
      <c r="M26" s="80" t="str"/>
      <c r="N26" s="80" t="str"/>
      <c r="O26" s="80" t="str"/>
      <c r="P26" s="19" t="str"/>
      <c r="Q26" s="19" t="str"/>
    </row>
    <row r="28">
      <c r="A28" s="19" t="inlineStr">
        <is>
          <t>Benchmark method and limitations: describe warm-up, repetitions, timing boundaries, memory measurement, quality-reference source, metric normalisation, seeds, caches, free-compute hardware where applicable, and any excluded/manual steps.</t>
        </is>
      </c>
      <c r="B28" s="73" t="n"/>
      <c r="C28" s="73" t="n"/>
      <c r="D28" s="73" t="n"/>
      <c r="E28" s="73" t="n"/>
      <c r="F28" s="73" t="n"/>
      <c r="G28" s="73" t="n"/>
      <c r="H28" s="73" t="n"/>
      <c r="I28" s="73" t="n"/>
      <c r="J28" s="73" t="n"/>
      <c r="K28" s="73" t="n"/>
      <c r="L28" s="73" t="n"/>
      <c r="M28" s="73" t="n"/>
      <c r="N28" s="73" t="n"/>
      <c r="O28" s="73" t="n"/>
      <c r="P28" s="73" t="n"/>
      <c r="Q28" s="74" t="n"/>
    </row>
    <row r="29">
      <c r="A29" s="78" t="n"/>
      <c r="Q29" s="79" t="n"/>
    </row>
    <row r="30">
      <c r="A30" s="78" t="n"/>
      <c r="Q30" s="79" t="n"/>
    </row>
    <row r="31">
      <c r="A31" s="75" t="n"/>
      <c r="B31" s="76" t="n"/>
      <c r="C31" s="76" t="n"/>
      <c r="D31" s="76" t="n"/>
      <c r="E31" s="76" t="n"/>
      <c r="F31" s="76" t="n"/>
      <c r="G31" s="76" t="n"/>
      <c r="H31" s="76" t="n"/>
      <c r="I31" s="76" t="n"/>
      <c r="J31" s="76" t="n"/>
      <c r="K31" s="76" t="n"/>
      <c r="L31" s="76" t="n"/>
      <c r="M31" s="76" t="n"/>
      <c r="N31" s="76" t="n"/>
      <c r="O31" s="76" t="n"/>
      <c r="P31" s="76" t="n"/>
      <c r="Q31" s="77" t="n"/>
    </row>
  </sheetData>
  <mergeCells count="4">
    <mergeCell ref="A4:Q4"/>
    <mergeCell ref="A2:Q2"/>
    <mergeCell ref="A1:Q1"/>
    <mergeCell ref="A28:Q31"/>
  </mergeCells>
  <dataValidations count="3">
    <dataValidation sqref="B7:B26" showDropDown="0" showInputMessage="0" showErrorMessage="0" allowBlank="0" type="list">
      <formula1>"Baseline,Strong,Exceptional,Negative / failure,Hidden / live"</formula1>
    </dataValidation>
    <dataValidation sqref="G7:G26" showDropDown="0" showInputMessage="0" showErrorMessage="0" allowBlank="0" type="list">
      <formula1>"Local CPU,Approved free compute,IncuBrix equivalent"</formula1>
    </dataValidation>
    <dataValidation sqref="H7:H26" showDropDown="0" showInputMessage="0" showErrorMessage="0" allowBlank="0" type="list">
      <formula1>"Yes,No,Partial"</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30"/>
  <sheetViews>
    <sheetView showGridLines="0" workbookViewId="0">
      <selection activeCell="A1" sqref="A1"/>
    </sheetView>
  </sheetViews>
  <sheetFormatPr baseColWidth="8" defaultRowHeight="15"/>
  <cols>
    <col width="24"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ht="34" customHeight="1">
      <c r="A1" s="3" t="inlineStr">
        <is>
          <t>Track 04 | Multilingual Translation with Independent Quality Control</t>
        </is>
      </c>
    </row>
    <row r="2" ht="28" customHeight="1">
      <c r="A2" s="7" t="inlineStr">
        <is>
          <t>Baseline is mandatory; higher-level points require complete verified evidence</t>
        </is>
      </c>
    </row>
    <row r="4" ht="23" customHeight="1">
      <c r="A4" s="10" t="inlineStr">
        <is>
          <t>Problem and Product Context</t>
        </is>
      </c>
    </row>
    <row r="5" ht="54" customHeight="1">
      <c r="A5" s="14" t="inlineStr">
        <is>
          <t>Original/refined intent</t>
        </is>
      </c>
      <c r="B5" s="34" t="inlineStr">
        <is>
          <t>Translate English into at least 10 major languages, extend translation between those languages, compare leading open-source models/libraries, and automatically validate outputs through multiple independent quality-control approaches.</t>
        </is>
      </c>
      <c r="C5" s="70" t="n"/>
      <c r="D5" s="70" t="n"/>
      <c r="E5" s="70" t="n"/>
      <c r="F5" s="70" t="n"/>
      <c r="G5" s="70" t="n"/>
      <c r="H5" s="71" t="n"/>
    </row>
    <row r="6" ht="54" customHeight="1">
      <c r="A6" s="14" t="inlineStr">
        <is>
          <t>Product value</t>
        </is>
      </c>
      <c r="B6" s="34" t="inlineStr">
        <is>
          <t>Scalable, lower-cost localisation of creator scripts and captions</t>
        </is>
      </c>
      <c r="C6" s="70" t="n"/>
      <c r="D6" s="70" t="n"/>
      <c r="E6" s="70" t="n"/>
      <c r="F6" s="70" t="n"/>
      <c r="G6" s="70" t="n"/>
      <c r="H6" s="71" t="n"/>
    </row>
    <row r="7" ht="54" customHeight="1">
      <c r="A7" s="14" t="inlineStr">
        <is>
          <t>Execution route</t>
        </is>
      </c>
      <c r="B7" s="34" t="inlineStr">
        <is>
          <t>CPU-first. The complete baseline and Strong path must run locally on the candidate's non-GPU laptop. Free compute may be used for an additional comparison only; the submitted default route must remain locally reproducible.</t>
        </is>
      </c>
      <c r="C7" s="70" t="n"/>
      <c r="D7" s="70" t="n"/>
      <c r="E7" s="70" t="n"/>
      <c r="F7" s="70" t="n"/>
      <c r="G7" s="70" t="n"/>
      <c r="H7" s="71" t="n"/>
    </row>
    <row r="8" ht="54" customHeight="1">
      <c r="A8" s="14" t="inlineStr">
        <is>
          <t>Input/output contract</t>
        </is>
      </c>
      <c r="B8" s="34" t="inlineStr">
        <is>
          <t>Input: plain text or segmented JSON plus source/target language, glossary and do-not-translate terms. Output: translated text/JSON plus route, preserved entities, QC signals, review status, runtime and warnings.</t>
        </is>
      </c>
      <c r="C8" s="70" t="n"/>
      <c r="D8" s="70" t="n"/>
      <c r="E8" s="70" t="n"/>
      <c r="F8" s="70" t="n"/>
      <c r="G8" s="70" t="n"/>
      <c r="H8" s="71" t="n"/>
    </row>
    <row r="10" ht="23" customHeight="1">
      <c r="A10" s="10" t="inlineStr">
        <is>
          <t>Performance Levels</t>
        </is>
      </c>
    </row>
    <row r="11">
      <c r="A11" s="37" t="inlineStr">
        <is>
          <t>Level</t>
        </is>
      </c>
      <c r="B11" s="37" t="inlineStr">
        <is>
          <t>Requirement</t>
        </is>
      </c>
      <c r="C11" s="70" t="n"/>
      <c r="D11" s="70" t="n"/>
      <c r="E11" s="70" t="n"/>
      <c r="F11" s="70" t="n"/>
      <c r="G11" s="70" t="n"/>
      <c r="H11" s="71" t="n"/>
    </row>
    <row r="12" ht="92" customHeight="1">
      <c r="A12" s="40" t="inlineStr">
        <is>
          <t>Baseline - mandatory</t>
        </is>
      </c>
      <c r="B12" s="34" t="inlineStr">
        <is>
          <t>Translate English on CPU into Hindi, Tamil, Telugu, Bengali, Marathi, Spanish, French, German, Portuguese and Indonesian. Preserve segment IDs, names, numbers, URLs, hashtags and basic formatting. Support batch input and return structured route/QC metadata.</t>
        </is>
      </c>
      <c r="C12" s="70" t="n"/>
      <c r="D12" s="70" t="n"/>
      <c r="E12" s="70" t="n"/>
      <c r="F12" s="70" t="n"/>
      <c r="G12" s="70" t="n"/>
      <c r="H12" s="71" t="n"/>
    </row>
    <row r="13" ht="92" customHeight="1">
      <c r="A13" s="56" t="inlineStr">
        <is>
          <t>Strong</t>
        </is>
      </c>
      <c r="B13" s="34" t="inlineStr">
        <is>
          <t>Support translation between the same 10 target languages, demonstrating at least 20 non-English directions. Compare at least two open models/libraries on a representative set; route by measured quality, speed, memory, language coverage or licence; and add glossary, do-not-translate, cache/resume and safe failure handling.</t>
        </is>
      </c>
      <c r="C13" s="70" t="n"/>
      <c r="D13" s="70" t="n"/>
      <c r="E13" s="70" t="n"/>
      <c r="F13" s="70" t="n"/>
      <c r="G13" s="70" t="n"/>
      <c r="H13" s="71" t="n"/>
    </row>
    <row r="14" ht="92" customHeight="1">
      <c r="A14" s="52" t="inlineStr">
        <is>
          <t>Exceptional</t>
        </is>
      </c>
      <c r="B14" s="34" t="inlineStr">
        <is>
          <t>Implement three automated QC checks, with at least two independent of each other. The production translation model may not grade itself. Combine signals such as a different-model back-translation, language identification, entity/number preservation, reference-based metrics and anomaly rules into an actionable human-review queue.</t>
        </is>
      </c>
      <c r="C14" s="70" t="n"/>
      <c r="D14" s="70" t="n"/>
      <c r="E14" s="70" t="n"/>
      <c r="F14" s="70" t="n"/>
      <c r="G14" s="70" t="n"/>
      <c r="H14" s="71" t="n"/>
    </row>
    <row r="16" ht="23" customHeight="1">
      <c r="A16" s="10" t="inlineStr">
        <is>
          <t>Required Test Matrix</t>
        </is>
      </c>
    </row>
    <row r="17" ht="36" customHeight="1">
      <c r="A17" s="29" t="n">
        <v>1</v>
      </c>
      <c r="B17" s="34" t="inlineStr">
        <is>
          <t>At least five varied inputs per target language including captions, names, dates, units, URLs and difficult sentences</t>
        </is>
      </c>
      <c r="C17" s="70" t="n"/>
      <c r="D17" s="70" t="n"/>
      <c r="E17" s="70" t="n"/>
      <c r="F17" s="70" t="n"/>
      <c r="G17" s="70" t="n"/>
      <c r="H17" s="71" t="n"/>
    </row>
    <row r="18" ht="36" customHeight="1">
      <c r="A18" s="29" t="n">
        <v>2</v>
      </c>
      <c r="B18" s="34" t="inlineStr">
        <is>
          <t>20 non-English directions for Strong, with route decisions and fallbacks</t>
        </is>
      </c>
      <c r="C18" s="70" t="n"/>
      <c r="D18" s="70" t="n"/>
      <c r="E18" s="70" t="n"/>
      <c r="F18" s="70" t="n"/>
      <c r="G18" s="70" t="n"/>
      <c r="H18" s="71" t="n"/>
    </row>
    <row r="19" ht="36" customHeight="1">
      <c r="A19" s="29" t="n">
        <v>3</v>
      </c>
      <c r="B19" s="34" t="inlineStr">
        <is>
          <t>Injected empty, repeated, wrong-language and entity-corrupted outputs for QC</t>
        </is>
      </c>
      <c r="C19" s="70" t="n"/>
      <c r="D19" s="70" t="n"/>
      <c r="E19" s="70" t="n"/>
      <c r="F19" s="70" t="n"/>
      <c r="G19" s="70" t="n"/>
      <c r="H19" s="71" t="n"/>
    </row>
    <row r="20" ht="36" customHeight="1">
      <c r="A20" s="29" t="n">
        <v>4</v>
      </c>
      <c r="B20" s="34" t="inlineStr">
        <is>
          <t>One interrupted batch/resume test and one unsupported-language request</t>
        </is>
      </c>
      <c r="C20" s="70" t="n"/>
      <c r="D20" s="70" t="n"/>
      <c r="E20" s="70" t="n"/>
      <c r="F20" s="70" t="n"/>
      <c r="G20" s="70" t="n"/>
      <c r="H20" s="71" t="n"/>
    </row>
    <row r="22" ht="23" customHeight="1">
      <c r="A22" s="10" t="inlineStr">
        <is>
          <t>Implementation Guidance and Minimum Evidence</t>
        </is>
      </c>
    </row>
    <row r="23" ht="34" customHeight="1">
      <c r="A23" s="58" t="n">
        <v>1</v>
      </c>
      <c r="B23" s="34" t="inlineStr">
        <is>
          <t>Guidance: Start with distilled or language-pair models and quantisation; measure language coverage before loading a larger multilingual model.</t>
        </is>
      </c>
      <c r="C23" s="70" t="n"/>
      <c r="D23" s="70" t="n"/>
      <c r="E23" s="70" t="n"/>
      <c r="F23" s="70" t="n"/>
      <c r="G23" s="70" t="n"/>
      <c r="H23" s="71" t="n"/>
    </row>
    <row r="24" ht="34" customHeight="1">
      <c r="A24" s="58" t="n">
        <v>2</v>
      </c>
      <c r="B24" s="34" t="inlineStr">
        <is>
          <t>Guidance: Protect placeholders/entities before translation and restore them with deterministic validation.</t>
        </is>
      </c>
      <c r="C24" s="70" t="n"/>
      <c r="D24" s="70" t="n"/>
      <c r="E24" s="70" t="n"/>
      <c r="F24" s="70" t="n"/>
      <c r="G24" s="70" t="n"/>
      <c r="H24" s="71" t="n"/>
    </row>
    <row r="25" ht="34" customHeight="1">
      <c r="A25" s="58" t="n">
        <v>3</v>
      </c>
      <c r="B25" s="34" t="inlineStr">
        <is>
          <t>Guidance: A back-translation is only independent if it uses a different model family/checkpoint from production.</t>
        </is>
      </c>
      <c r="C25" s="70" t="n"/>
      <c r="D25" s="70" t="n"/>
      <c r="E25" s="70" t="n"/>
      <c r="F25" s="70" t="n"/>
      <c r="G25" s="70" t="n"/>
      <c r="H25" s="71" t="n"/>
    </row>
    <row r="26" ht="34" customHeight="1">
      <c r="A26" s="58" t="n">
        <v>4</v>
      </c>
      <c r="B26" s="34" t="inlineStr">
        <is>
          <t>Guidance: Separate translation quality from formatting/entity preservation and from operational reliability.</t>
        </is>
      </c>
      <c r="C26" s="70" t="n"/>
      <c r="D26" s="70" t="n"/>
      <c r="E26" s="70" t="n"/>
      <c r="F26" s="70" t="n"/>
      <c r="G26" s="70" t="n"/>
      <c r="H26" s="71" t="n"/>
    </row>
    <row r="27" ht="34" customHeight="1">
      <c r="A27" s="58" t="n">
        <v>5</v>
      </c>
      <c r="B27" s="34" t="inlineStr">
        <is>
          <t>Evidence: All 10 baseline languages and required non-English routes</t>
        </is>
      </c>
      <c r="C27" s="70" t="n"/>
      <c r="D27" s="70" t="n"/>
      <c r="E27" s="70" t="n"/>
      <c r="F27" s="70" t="n"/>
      <c r="G27" s="70" t="n"/>
      <c r="H27" s="71" t="n"/>
    </row>
    <row r="28" ht="34" customHeight="1">
      <c r="A28" s="58" t="n">
        <v>6</v>
      </c>
      <c r="B28" s="34" t="inlineStr">
        <is>
          <t>Evidence: Human/reference provenance for any claimed accuracy metric</t>
        </is>
      </c>
      <c r="C28" s="70" t="n"/>
      <c r="D28" s="70" t="n"/>
      <c r="E28" s="70" t="n"/>
      <c r="F28" s="70" t="n"/>
      <c r="G28" s="70" t="n"/>
      <c r="H28" s="71" t="n"/>
    </row>
    <row r="29" ht="34" customHeight="1">
      <c r="A29" s="58" t="n">
        <v>7</v>
      </c>
      <c r="B29" s="34" t="inlineStr">
        <is>
          <t>Evidence: Model comparison and explicit routing table</t>
        </is>
      </c>
      <c r="C29" s="70" t="n"/>
      <c r="D29" s="70" t="n"/>
      <c r="E29" s="70" t="n"/>
      <c r="F29" s="70" t="n"/>
      <c r="G29" s="70" t="n"/>
      <c r="H29" s="71" t="n"/>
    </row>
    <row r="30" ht="34" customHeight="1">
      <c r="A30" s="58" t="n">
        <v>8</v>
      </c>
      <c r="B30" s="34" t="inlineStr">
        <is>
          <t>Evidence: QC fault-injection set and review_queue.json</t>
        </is>
      </c>
      <c r="C30" s="70" t="n"/>
      <c r="D30" s="70" t="n"/>
      <c r="E30" s="70" t="n"/>
      <c r="F30" s="70" t="n"/>
      <c r="G30" s="70" t="n"/>
      <c r="H30" s="71" t="n"/>
    </row>
  </sheetData>
  <mergeCells count="26">
    <mergeCell ref="B6:H6"/>
    <mergeCell ref="B24:H24"/>
    <mergeCell ref="B30:H30"/>
    <mergeCell ref="A1:H1"/>
    <mergeCell ref="B5:H5"/>
    <mergeCell ref="B20:H20"/>
    <mergeCell ref="B26:H26"/>
    <mergeCell ref="A16:H16"/>
    <mergeCell ref="B7:H7"/>
    <mergeCell ref="B25:H25"/>
    <mergeCell ref="B18:H18"/>
    <mergeCell ref="B27:H27"/>
    <mergeCell ref="A2:H2"/>
    <mergeCell ref="B12:H12"/>
    <mergeCell ref="B11:H11"/>
    <mergeCell ref="A22:H22"/>
    <mergeCell ref="B23:H23"/>
    <mergeCell ref="A4:H4"/>
    <mergeCell ref="B8:H8"/>
    <mergeCell ref="B14:H14"/>
    <mergeCell ref="B17:H17"/>
    <mergeCell ref="B13:H13"/>
    <mergeCell ref="A10:H10"/>
    <mergeCell ref="B29:H29"/>
    <mergeCell ref="B19:H19"/>
    <mergeCell ref="B28:H28"/>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30"/>
  <sheetViews>
    <sheetView showGridLines="0" workbookViewId="0">
      <selection activeCell="A1" sqref="A1"/>
    </sheetView>
  </sheetViews>
  <sheetFormatPr baseColWidth="8" defaultRowHeight="15"/>
  <cols>
    <col width="34" customWidth="1" min="1" max="1"/>
    <col width="12" customWidth="1" min="2" max="2"/>
    <col width="16" customWidth="1" min="3" max="3"/>
    <col width="42" customWidth="1" min="4" max="4"/>
    <col width="19" customWidth="1" min="5" max="5"/>
    <col width="20" customWidth="1" min="6" max="6"/>
    <col width="20" customWidth="1" min="7" max="7"/>
  </cols>
  <sheetData>
    <row r="1" ht="34" customHeight="1">
      <c r="A1" s="3" t="inlineStr">
        <is>
          <t>Track 04 | Evaluator Review and Final Result</t>
        </is>
      </c>
    </row>
    <row r="2" ht="28" customHeight="1">
      <c r="A2" s="7" t="inlineStr">
        <is>
          <t>Blue cells are reviewer inputs; green cells calculate eligibility, total and performance band</t>
        </is>
      </c>
    </row>
    <row r="4" ht="23" customHeight="1">
      <c r="A4" s="10" t="inlineStr">
        <is>
          <t>Hard Eligibility Gates</t>
        </is>
      </c>
    </row>
    <row r="5">
      <c r="A5" s="14" t="inlineStr">
        <is>
          <t>Runnable core</t>
        </is>
      </c>
      <c r="B5" s="48" t="str"/>
      <c r="C5" s="34" t="inlineStr">
        <is>
          <t>End-to-end output from submitted code and documented input</t>
        </is>
      </c>
      <c r="D5" s="71" t="n"/>
      <c r="E5" s="35" t="inlineStr">
        <is>
          <t>Eligibility</t>
        </is>
      </c>
      <c r="F5" s="59">
        <f>IF(COUNTIF(B5:B11,"No")&gt;0,"INELIGIBLE",IF(COUNTIF(B5:B11,"Yes")=7,"ELIGIBLE","PENDING"))</f>
        <v/>
      </c>
      <c r="G5" s="71" t="n"/>
    </row>
    <row r="6">
      <c r="A6" s="14" t="inlineStr">
        <is>
          <t>Permitted compute</t>
        </is>
      </c>
      <c r="B6" s="48" t="str"/>
      <c r="C6" s="34" t="inlineStr">
        <is>
          <t>Track compute rules followed; zero candidate spend; no hidden paid endpoint</t>
        </is>
      </c>
      <c r="D6" s="71" t="n"/>
    </row>
    <row r="7">
      <c r="A7" s="14" t="inlineStr">
        <is>
          <t>Open/local AI</t>
        </is>
      </c>
      <c r="B7" s="48" t="str"/>
      <c r="C7" s="34" t="inlineStr">
        <is>
          <t>No commercial generation API; material components disclosed</t>
        </is>
      </c>
      <c r="D7" s="71" t="n"/>
      <c r="E7" s="64" t="inlineStr">
        <is>
          <t>Any No makes the submission ineligible. Record evidence before stopping normal scoring. A partial score may be retained for feedback only.</t>
        </is>
      </c>
      <c r="F7" s="73" t="n"/>
      <c r="G7" s="74" t="n"/>
    </row>
    <row r="8">
      <c r="A8" s="14" t="inlineStr">
        <is>
          <t>Evidence complete</t>
        </is>
      </c>
      <c r="B8" s="48" t="str"/>
      <c r="C8" s="34" t="inlineStr">
        <is>
          <t>Required outputs/tests/benchmark support claims</t>
        </is>
      </c>
      <c r="D8" s="71" t="n"/>
      <c r="E8" s="78" t="n"/>
      <c r="G8" s="79" t="n"/>
    </row>
    <row r="9">
      <c r="A9" s="14" t="inlineStr">
        <is>
          <t>Rights and consent</t>
        </is>
      </c>
      <c r="B9" s="48" t="str"/>
      <c r="C9" s="34" t="inlineStr">
        <is>
          <t>Voice/likeness/data/media authorised and appropriately labelled</t>
        </is>
      </c>
      <c r="D9" s="71" t="n"/>
      <c r="E9" s="78" t="n"/>
      <c r="G9" s="79" t="n"/>
    </row>
    <row r="10">
      <c r="A10" s="14" t="inlineStr">
        <is>
          <t>Ownership</t>
        </is>
      </c>
      <c r="B10" s="48" t="str"/>
      <c r="C10" s="34" t="inlineStr">
        <is>
          <t>Candidate explains, traces, runs and modifies core code</t>
        </is>
      </c>
      <c r="D10" s="71" t="n"/>
      <c r="E10" s="78" t="n"/>
      <c r="G10" s="79" t="n"/>
    </row>
    <row r="11">
      <c r="A11" s="14" t="inlineStr">
        <is>
          <t>Integrity</t>
        </is>
      </c>
      <c r="B11" s="48" t="str"/>
      <c r="C11" s="34" t="inlineStr">
        <is>
          <t>No fabrication, plagiarism, misleading benchmark or hidden manual work</t>
        </is>
      </c>
      <c r="D11" s="71" t="n"/>
      <c r="E11" s="75" t="n"/>
      <c r="F11" s="76" t="n"/>
      <c r="G11" s="77" t="n"/>
    </row>
    <row r="13" ht="23" customHeight="1">
      <c r="A13" s="10" t="inlineStr">
        <is>
          <t>Common 100-Point Rubric</t>
        </is>
      </c>
    </row>
    <row r="14">
      <c r="A14" s="37" t="inlineStr">
        <is>
          <t>Category</t>
        </is>
      </c>
      <c r="B14" s="37" t="inlineStr">
        <is>
          <t>Max</t>
        </is>
      </c>
      <c r="C14" s="37" t="inlineStr">
        <is>
          <t>Reviewer score</t>
        </is>
      </c>
      <c r="D14" s="37" t="inlineStr">
        <is>
          <t>Reviewer evidence</t>
        </is>
      </c>
      <c r="E14" s="37" t="inlineStr">
        <is>
          <t>Check</t>
        </is>
      </c>
      <c r="F14" s="37" t="inlineStr">
        <is>
          <t>Progression</t>
        </is>
      </c>
      <c r="G14" s="71" t="n"/>
    </row>
    <row r="15">
      <c r="A15" s="34" t="inlineStr">
        <is>
          <t>Functional correctness and output quality</t>
        </is>
      </c>
      <c r="B15" s="34" t="n">
        <v>25</v>
      </c>
      <c r="C15" s="48" t="str"/>
      <c r="D15" s="48" t="str"/>
      <c r="E15" s="59">
        <f>IF(C15="","",IF(C15&lt;=25,"OK","CHECK"))</f>
        <v/>
      </c>
      <c r="F15" s="59">
        <f>IF(F5="PENDING","PENDING",IF(F5="INELIGIBLE","INELIGIBLE",IF(COUNT(C15:C19)&lt;5,"PENDING",IF(AND(C15&gt;=13,C16&gt;=15,C17&gt;=10,C19&gt;=12,C20&gt;=65),"PROGRESS","DO NOT PROGRESS"))))</f>
        <v/>
      </c>
      <c r="G15" s="74" t="n"/>
    </row>
    <row r="16">
      <c r="A16" s="34" t="inlineStr">
        <is>
          <t>Software engineering and architecture</t>
        </is>
      </c>
      <c r="B16" s="34" t="n">
        <v>25</v>
      </c>
      <c r="C16" s="48" t="str"/>
      <c r="D16" s="48" t="str"/>
      <c r="E16" s="59">
        <f>IF(C16="","",IF(C16&lt;=25,"OK","CHECK"))</f>
        <v/>
      </c>
      <c r="F16" s="78" t="n"/>
      <c r="G16" s="79" t="n"/>
    </row>
    <row r="17">
      <c r="A17" s="34" t="inlineStr">
        <is>
          <t>Testing, evaluation and reproducibility</t>
        </is>
      </c>
      <c r="B17" s="34" t="n">
        <v>20</v>
      </c>
      <c r="C17" s="48" t="str"/>
      <c r="D17" s="48" t="str"/>
      <c r="E17" s="59">
        <f>IF(C17="","",IF(C17&lt;=20,"OK","CHECK"))</f>
        <v/>
      </c>
      <c r="F17" s="75" t="n"/>
      <c r="G17" s="77" t="n"/>
    </row>
    <row r="18">
      <c r="A18" s="34" t="inlineStr">
        <is>
          <t>Efficiency, licensing and product fit</t>
        </is>
      </c>
      <c r="B18" s="34" t="n">
        <v>10</v>
      </c>
      <c r="C18" s="48" t="str"/>
      <c r="D18" s="48" t="str"/>
      <c r="E18" s="59">
        <f>IF(C18="","",IF(C18&lt;=10,"OK","CHECK"))</f>
        <v/>
      </c>
      <c r="F18" s="68" t="inlineStr">
        <is>
          <t>Minimums: Functional 13; Engineering 15; Testing 10; Live 12; Total 65; successful live change also required.</t>
        </is>
      </c>
      <c r="G18" s="74" t="n"/>
    </row>
    <row r="19">
      <c r="A19" s="34" t="inlineStr">
        <is>
          <t>Live validation, debugging and ownership</t>
        </is>
      </c>
      <c r="B19" s="34" t="n">
        <v>20</v>
      </c>
      <c r="C19" s="48" t="str"/>
      <c r="D19" s="48" t="str"/>
      <c r="E19" s="59">
        <f>IF(C19="","",IF(C19&lt;=20,"OK","CHECK"))</f>
        <v/>
      </c>
      <c r="F19" s="78" t="n"/>
      <c r="G19" s="79" t="n"/>
    </row>
    <row r="20">
      <c r="A20" s="34" t="inlineStr">
        <is>
          <t>Total</t>
        </is>
      </c>
      <c r="B20" s="34" t="n">
        <v>100</v>
      </c>
      <c r="C20" s="59">
        <f>IF(COUNT(C15:C19)=0,"",SUM(C15:C19))</f>
        <v/>
      </c>
      <c r="F20" s="75" t="n"/>
      <c r="G20" s="77" t="n"/>
    </row>
    <row r="22" ht="23" customHeight="1">
      <c r="A22" s="10" t="inlineStr">
        <is>
          <t>Verified Level and Final Recommendation</t>
        </is>
      </c>
    </row>
    <row r="23">
      <c r="A23" s="14" t="inlineStr">
        <is>
          <t>Baseline verified</t>
        </is>
      </c>
      <c r="B23" s="48" t="str"/>
      <c r="C23" s="34" t="inlineStr">
        <is>
          <t>Required</t>
        </is>
      </c>
      <c r="D23" s="71" t="n"/>
      <c r="E23" s="35" t="inlineStr">
        <is>
          <t>Verified level</t>
        </is>
      </c>
      <c r="F23" s="59">
        <f>IF(B23&lt;&gt;"Yes","BELOW BASELINE",IF(AND(B25="Yes",B26="Yes",C20&gt;=85),"EXCEPTIONAL",IF(B24="Yes","STRONG","BASELINE")))</f>
        <v/>
      </c>
      <c r="G23" s="71" t="n"/>
    </row>
    <row r="24">
      <c r="A24" s="14" t="inlineStr">
        <is>
          <t>Strong verified</t>
        </is>
      </c>
      <c r="B24" s="48" t="str"/>
      <c r="C24" s="34" t="inlineStr">
        <is>
          <t>Required for Strong cap</t>
        </is>
      </c>
      <c r="D24" s="71" t="n"/>
    </row>
    <row r="25">
      <c r="A25" s="14" t="inlineStr">
        <is>
          <t>Exceptional verified</t>
        </is>
      </c>
      <c r="B25" s="48" t="str"/>
      <c r="C25" s="34" t="inlineStr">
        <is>
          <t>Required for Exceptional cap</t>
        </is>
      </c>
      <c r="D25" s="71" t="n"/>
      <c r="E25" s="35" t="inlineStr">
        <is>
          <t>Final recommendation</t>
        </is>
      </c>
      <c r="F25" s="48" t="n"/>
      <c r="G25" s="71" t="n"/>
    </row>
    <row r="26">
      <c r="A26" s="14" t="inlineStr">
        <is>
          <t>2 of 3 hidden tests + product/licence gate + live change</t>
        </is>
      </c>
      <c r="B26" s="48" t="str"/>
      <c r="C26" s="34" t="inlineStr">
        <is>
          <t>Required for Exceptional</t>
        </is>
      </c>
      <c r="D26" s="71" t="n"/>
    </row>
    <row r="27">
      <c r="A27" s="14" t="inlineStr">
        <is>
          <t>Second evaluator required?</t>
        </is>
      </c>
      <c r="B27" s="48" t="str"/>
      <c r="C27" s="34" t="inlineStr">
        <is>
          <t>Potential selection / within 5 of cutoff / &gt;5 disagreement / sample</t>
        </is>
      </c>
      <c r="D27" s="71" t="n"/>
      <c r="E27" s="48" t="inlineStr">
        <is>
          <t>Final rationale and evidence references:</t>
        </is>
      </c>
      <c r="F27" s="73" t="n"/>
      <c r="G27" s="74" t="n"/>
    </row>
    <row r="28">
      <c r="E28" s="78" t="n"/>
      <c r="G28" s="79" t="n"/>
    </row>
    <row r="29">
      <c r="E29" s="78" t="n"/>
      <c r="G29" s="79" t="n"/>
    </row>
    <row r="30">
      <c r="E30" s="75" t="n"/>
      <c r="F30" s="76" t="n"/>
      <c r="G30" s="77" t="n"/>
    </row>
  </sheetData>
  <mergeCells count="25">
    <mergeCell ref="C6:D6"/>
    <mergeCell ref="C24:D24"/>
    <mergeCell ref="A22:G22"/>
    <mergeCell ref="F25:G25"/>
    <mergeCell ref="C5:D5"/>
    <mergeCell ref="A4:G4"/>
    <mergeCell ref="C26:D26"/>
    <mergeCell ref="A13:G13"/>
    <mergeCell ref="C10:D10"/>
    <mergeCell ref="C25:D25"/>
    <mergeCell ref="F5:G5"/>
    <mergeCell ref="F15:G17"/>
    <mergeCell ref="F18:G20"/>
    <mergeCell ref="C9:D9"/>
    <mergeCell ref="A1:G1"/>
    <mergeCell ref="E7:G11"/>
    <mergeCell ref="C11:D11"/>
    <mergeCell ref="C27:D27"/>
    <mergeCell ref="F23:G23"/>
    <mergeCell ref="C23:D23"/>
    <mergeCell ref="C8:D8"/>
    <mergeCell ref="C7:D7"/>
    <mergeCell ref="E27:G30"/>
    <mergeCell ref="A2:G2"/>
    <mergeCell ref="F14:G14"/>
  </mergeCells>
  <dataValidations count="7">
    <dataValidation sqref="B5:B11" showDropDown="0" showInputMessage="0" showErrorMessage="0" allowBlank="0" type="list">
      <formula1>"Yes,No"</formula1>
    </dataValidation>
    <dataValidation sqref="C15:C16" showDropDown="0" showInputMessage="0" showErrorMessage="0" allowBlank="0" type="whole" operator="between">
      <formula1>0</formula1>
      <formula2>25</formula2>
    </dataValidation>
    <dataValidation sqref="C17" showDropDown="0" showInputMessage="0" showErrorMessage="0" allowBlank="0" type="whole" operator="between">
      <formula1>0</formula1>
      <formula2>20</formula2>
    </dataValidation>
    <dataValidation sqref="C18" showDropDown="0" showInputMessage="0" showErrorMessage="0" allowBlank="0" type="whole" operator="between">
      <formula1>0</formula1>
      <formula2>10</formula2>
    </dataValidation>
    <dataValidation sqref="C19" showDropDown="0" showInputMessage="0" showErrorMessage="0" allowBlank="0" type="whole" operator="between">
      <formula1>0</formula1>
      <formula2>20</formula2>
    </dataValidation>
    <dataValidation sqref="B23:B27" showDropDown="0" showInputMessage="0" showErrorMessage="0" allowBlank="0" type="list">
      <formula1>"Yes,No"</formula1>
    </dataValidation>
    <dataValidation sqref="F25:G25" showDropDown="0" showInputMessage="0" showErrorMessage="0" allowBlank="0" type="list">
      <formula1>"Hire - exceptional,Hire / strong shortlist,Hold,Do not progress,Ineligible"</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H28"/>
  <sheetViews>
    <sheetView showGridLines="0" workbookViewId="0">
      <selection activeCell="A1" sqref="A1"/>
    </sheetView>
  </sheetViews>
  <sheetFormatPr baseColWidth="8" defaultRowHeight="15"/>
  <cols>
    <col width="23" customWidth="1" min="1" max="1"/>
    <col width="34" customWidth="1" min="2" max="2"/>
    <col width="34" customWidth="1" min="3" max="3"/>
    <col width="34" customWidth="1" min="4" max="4"/>
    <col width="15" customWidth="1" min="5" max="5"/>
    <col width="30" customWidth="1" min="6" max="6"/>
    <col width="15" customWidth="1" min="7" max="7"/>
    <col width="18" customWidth="1" min="8" max="8"/>
  </cols>
  <sheetData>
    <row r="1" ht="34" customHeight="1">
      <c r="A1" s="3" t="inlineStr">
        <is>
          <t>Track 04 | Live Validation and Ownership</t>
        </is>
      </c>
    </row>
    <row r="2" ht="28" customHeight="1">
      <c r="A2" s="7" t="inlineStr">
        <is>
          <t>Internal evaluator sheet; do not share hidden inputs before the session</t>
        </is>
      </c>
    </row>
    <row r="4" ht="23" customHeight="1">
      <c r="A4" s="10" t="inlineStr">
        <is>
          <t>Hidden Tests</t>
        </is>
      </c>
    </row>
    <row r="5">
      <c r="A5" s="37" t="inlineStr">
        <is>
          <t>Test</t>
        </is>
      </c>
      <c r="B5" s="37" t="inlineStr">
        <is>
          <t>Input hash/path</t>
        </is>
      </c>
      <c r="C5" s="37" t="inlineStr">
        <is>
          <t>Expected behaviour</t>
        </is>
      </c>
      <c r="D5" s="37" t="inlineStr">
        <is>
          <t>Actual result</t>
        </is>
      </c>
      <c r="E5" s="37" t="inlineStr">
        <is>
          <t>Result</t>
        </is>
      </c>
      <c r="F5" s="37" t="inlineStr">
        <is>
          <t>Evidence/log</t>
        </is>
      </c>
      <c r="G5" s="37" t="inlineStr">
        <is>
          <t>Score impact</t>
        </is>
      </c>
      <c r="H5" s="37" t="inlineStr">
        <is>
          <t>Evaluator</t>
        </is>
      </c>
    </row>
    <row r="6" ht="48" customHeight="1">
      <c r="A6" s="48" t="inlineStr">
        <is>
          <t>Hidden 1</t>
        </is>
      </c>
      <c r="B6" s="48" t="str"/>
      <c r="C6" s="48" t="str"/>
      <c r="D6" s="48" t="str"/>
      <c r="E6" s="48" t="str"/>
      <c r="F6" s="48" t="str"/>
      <c r="G6" s="48" t="str"/>
      <c r="H6" s="48" t="str"/>
    </row>
    <row r="7" ht="48" customHeight="1">
      <c r="A7" s="48" t="inlineStr">
        <is>
          <t>Hidden 2</t>
        </is>
      </c>
      <c r="B7" s="48" t="str"/>
      <c r="C7" s="48" t="str"/>
      <c r="D7" s="48" t="str"/>
      <c r="E7" s="48" t="str"/>
      <c r="F7" s="48" t="str"/>
      <c r="G7" s="48" t="str"/>
      <c r="H7" s="48" t="str"/>
    </row>
    <row r="8" ht="48" customHeight="1">
      <c r="A8" s="48" t="inlineStr">
        <is>
          <t>Hidden 3</t>
        </is>
      </c>
      <c r="B8" s="48" t="str"/>
      <c r="C8" s="48" t="str"/>
      <c r="D8" s="48" t="str"/>
      <c r="E8" s="48" t="str"/>
      <c r="F8" s="48" t="str"/>
      <c r="G8" s="48" t="str"/>
      <c r="H8" s="48" t="str"/>
    </row>
    <row r="10" ht="23" customHeight="1">
      <c r="A10" s="10" t="inlineStr">
        <is>
          <t>Bounded Code Change</t>
        </is>
      </c>
    </row>
    <row r="11" ht="43" customHeight="1">
      <c r="A11" s="14" t="inlineStr">
        <is>
          <t>Change request</t>
        </is>
      </c>
      <c r="B11" s="48" t="inlineStr">
        <is>
          <t>Add a glossary/preservation rule or QC fault detector, write a regression test and process a hidden segment.</t>
        </is>
      </c>
    </row>
    <row r="12" ht="43" customHeight="1">
      <c r="A12" s="14" t="inlineStr">
        <is>
          <t>Candidate prediction</t>
        </is>
      </c>
      <c r="B12" s="48" t="str"/>
    </row>
    <row r="13" ht="43" customHeight="1">
      <c r="A13" s="14" t="inlineStr">
        <is>
          <t>Files/functions changed</t>
        </is>
      </c>
      <c r="B13" s="48" t="str"/>
    </row>
    <row r="14" ht="43" customHeight="1">
      <c r="A14" s="14" t="inlineStr">
        <is>
          <t>Test added/updated</t>
        </is>
      </c>
      <c r="B14" s="48" t="str"/>
    </row>
    <row r="15" ht="43" customHeight="1">
      <c r="A15" s="14" t="inlineStr">
        <is>
          <t>Smallest affected test result</t>
        </is>
      </c>
      <c r="B15" s="48" t="str"/>
    </row>
    <row r="16" ht="43" customHeight="1">
      <c r="A16" s="14" t="inlineStr">
        <is>
          <t>Relevant end-to-end retest</t>
        </is>
      </c>
      <c r="B16" s="48" t="str"/>
    </row>
    <row r="17" ht="43" customHeight="1">
      <c r="A17" s="14" t="inlineStr">
        <is>
          <t>Diagnosis/ownership evidence</t>
        </is>
      </c>
      <c r="B17" s="48" t="str"/>
    </row>
    <row r="18" ht="43" customHeight="1">
      <c r="A18" s="14" t="inlineStr">
        <is>
          <t>Final result</t>
        </is>
      </c>
      <c r="B18" s="48" t="str"/>
    </row>
    <row r="20" ht="23" customHeight="1">
      <c r="A20" s="10" t="inlineStr">
        <is>
          <t>Ownership Questions and Session Notes</t>
        </is>
      </c>
    </row>
    <row r="21">
      <c r="A21" s="48" t="n"/>
      <c r="B21" s="73" t="n"/>
      <c r="C21" s="73" t="n"/>
      <c r="D21" s="73" t="n"/>
      <c r="E21" s="73" t="n"/>
      <c r="F21" s="73" t="n"/>
      <c r="G21" s="73" t="n"/>
      <c r="H21" s="74" t="n"/>
    </row>
    <row r="22">
      <c r="A22" s="78" t="n"/>
      <c r="H22" s="79" t="n"/>
    </row>
    <row r="23">
      <c r="A23" s="78" t="n"/>
      <c r="H23" s="79" t="n"/>
    </row>
    <row r="24">
      <c r="A24" s="78" t="n"/>
      <c r="H24" s="79" t="n"/>
    </row>
    <row r="25">
      <c r="A25" s="78" t="n"/>
      <c r="H25" s="79" t="n"/>
    </row>
    <row r="26">
      <c r="A26" s="78" t="n"/>
      <c r="H26" s="79" t="n"/>
    </row>
    <row r="27">
      <c r="A27" s="78" t="n"/>
      <c r="H27" s="79" t="n"/>
    </row>
    <row r="28">
      <c r="A28" s="75" t="n"/>
      <c r="B28" s="76" t="n"/>
      <c r="C28" s="76" t="n"/>
      <c r="D28" s="76" t="n"/>
      <c r="E28" s="76" t="n"/>
      <c r="F28" s="76" t="n"/>
      <c r="G28" s="76" t="n"/>
      <c r="H28" s="77" t="n"/>
    </row>
  </sheetData>
  <mergeCells count="6">
    <mergeCell ref="A4:H4"/>
    <mergeCell ref="A21:H28"/>
    <mergeCell ref="A20:H20"/>
    <mergeCell ref="A2:H2"/>
    <mergeCell ref="A10:H10"/>
    <mergeCell ref="A1:H1"/>
  </mergeCells>
  <dataValidations count="2">
    <dataValidation sqref="E6:E8" showDropDown="0" showInputMessage="0" showErrorMessage="0" allowBlank="0" type="list">
      <formula1>"Pass,Partial,Fail"</formula1>
    </dataValidation>
    <dataValidation sqref="B18" showDropDown="0" showInputMessage="0" showErrorMessage="0" allowBlank="0" type="list">
      <formula1>"Completed and retested,Partial,Not completed"</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N36"/>
  <sheetViews>
    <sheetView showGridLines="0" workbookViewId="0">
      <selection activeCell="A1" sqref="A1"/>
    </sheetView>
  </sheetViews>
  <sheetFormatPr baseColWidth="8" defaultRowHeight="15"/>
  <cols>
    <col width="18" customWidth="1" min="1" max="1"/>
    <col width="15" customWidth="1" min="2" max="2"/>
    <col width="16" customWidth="1" min="3" max="3"/>
    <col width="14" customWidth="1" min="4" max="4"/>
    <col width="14" customWidth="1" min="5" max="5"/>
    <col width="13" customWidth="1" min="6" max="6"/>
    <col width="14" customWidth="1" min="7" max="7"/>
    <col width="15" customWidth="1" min="8" max="8"/>
    <col width="18" customWidth="1" min="9" max="9"/>
    <col width="12" customWidth="1" min="10" max="10"/>
    <col width="15" customWidth="1" min="11" max="11"/>
    <col width="12" customWidth="1" min="12" max="12"/>
    <col width="21" customWidth="1" min="13" max="13"/>
    <col width="32" customWidth="1" min="14" max="14"/>
  </cols>
  <sheetData>
    <row r="1" ht="34" customHeight="1">
      <c r="A1" s="3" t="inlineStr">
        <is>
          <t>Track 04 | Batch Moderation</t>
        </is>
      </c>
    </row>
    <row r="2" ht="28" customHeight="1">
      <c r="A2" s="7" t="inlineStr">
        <is>
          <t>Rank within track, double-score likely selections/borderline cases, then cross-track moderate</t>
        </is>
      </c>
    </row>
    <row r="4">
      <c r="A4" s="37" t="inlineStr">
        <is>
          <t>Candidate ID</t>
        </is>
      </c>
      <c r="B4" s="37" t="inlineStr">
        <is>
          <t>Functional /25</t>
        </is>
      </c>
      <c r="C4" s="37" t="inlineStr">
        <is>
          <t>Engineering /25</t>
        </is>
      </c>
      <c r="D4" s="37" t="inlineStr">
        <is>
          <t>Testing /20</t>
        </is>
      </c>
      <c r="E4" s="37" t="inlineStr">
        <is>
          <t>Efficiency /10</t>
        </is>
      </c>
      <c r="F4" s="37" t="inlineStr">
        <is>
          <t>Live /20</t>
        </is>
      </c>
      <c r="G4" s="37" t="inlineStr">
        <is>
          <t>Total /100</t>
        </is>
      </c>
      <c r="H4" s="37" t="inlineStr">
        <is>
          <t>Eligibility</t>
        </is>
      </c>
      <c r="I4" s="37" t="inlineStr">
        <is>
          <t>Verified level</t>
        </is>
      </c>
      <c r="J4" s="37" t="inlineStr">
        <is>
          <t>Track rank</t>
        </is>
      </c>
      <c r="K4" s="37" t="inlineStr">
        <is>
          <t>2nd score total</t>
        </is>
      </c>
      <c r="L4" s="37" t="inlineStr">
        <is>
          <t>Difference</t>
        </is>
      </c>
      <c r="M4" s="37" t="inlineStr">
        <is>
          <t>Moderation status</t>
        </is>
      </c>
      <c r="N4" s="37" t="inlineStr">
        <is>
          <t>Decision / notes</t>
        </is>
      </c>
    </row>
    <row r="5" ht="30" customHeight="1">
      <c r="A5" s="48" t="str"/>
      <c r="B5" s="48" t="str"/>
      <c r="C5" s="48" t="str"/>
      <c r="D5" s="48" t="str"/>
      <c r="E5" s="48" t="str"/>
      <c r="F5" s="48" t="str"/>
      <c r="G5" s="59">
        <f>IF(B5="","",SUM(B5:F5))</f>
        <v/>
      </c>
      <c r="H5" s="48" t="str"/>
      <c r="I5" s="48" t="str"/>
      <c r="J5" s="59">
        <f>IF(G5="","",RANK.EQ(G5,$G$5:$G$29,0))</f>
        <v/>
      </c>
      <c r="K5" s="48" t="str"/>
      <c r="L5" s="59">
        <f>IF(OR(G5="",K5=""),"",ABS(G5-K5))</f>
        <v/>
      </c>
      <c r="M5" s="48" t="str"/>
      <c r="N5" s="48" t="str"/>
    </row>
    <row r="6" ht="30" customHeight="1">
      <c r="A6" s="48" t="str"/>
      <c r="B6" s="48" t="str"/>
      <c r="C6" s="48" t="str"/>
      <c r="D6" s="48" t="str"/>
      <c r="E6" s="48" t="str"/>
      <c r="F6" s="48" t="str"/>
      <c r="G6" s="59">
        <f>IF(B6="","",SUM(B6:F6))</f>
        <v/>
      </c>
      <c r="H6" s="48" t="str"/>
      <c r="I6" s="48" t="str"/>
      <c r="J6" s="59">
        <f>IF(G6="","",RANK.EQ(G6,$G$5:$G$29,0))</f>
        <v/>
      </c>
      <c r="K6" s="48" t="str"/>
      <c r="L6" s="59">
        <f>IF(OR(G6="",K6=""),"",ABS(G6-K6))</f>
        <v/>
      </c>
      <c r="M6" s="48" t="str"/>
      <c r="N6" s="48" t="str"/>
    </row>
    <row r="7" ht="30" customHeight="1">
      <c r="A7" s="48" t="str"/>
      <c r="B7" s="48" t="str"/>
      <c r="C7" s="48" t="str"/>
      <c r="D7" s="48" t="str"/>
      <c r="E7" s="48" t="str"/>
      <c r="F7" s="48" t="str"/>
      <c r="G7" s="59">
        <f>IF(B7="","",SUM(B7:F7))</f>
        <v/>
      </c>
      <c r="H7" s="48" t="str"/>
      <c r="I7" s="48" t="str"/>
      <c r="J7" s="59">
        <f>IF(G7="","",RANK.EQ(G7,$G$5:$G$29,0))</f>
        <v/>
      </c>
      <c r="K7" s="48" t="str"/>
      <c r="L7" s="59">
        <f>IF(OR(G7="",K7=""),"",ABS(G7-K7))</f>
        <v/>
      </c>
      <c r="M7" s="48" t="str"/>
      <c r="N7" s="48" t="str"/>
    </row>
    <row r="8" ht="30" customHeight="1">
      <c r="A8" s="48" t="str"/>
      <c r="B8" s="48" t="str"/>
      <c r="C8" s="48" t="str"/>
      <c r="D8" s="48" t="str"/>
      <c r="E8" s="48" t="str"/>
      <c r="F8" s="48" t="str"/>
      <c r="G8" s="59">
        <f>IF(B8="","",SUM(B8:F8))</f>
        <v/>
      </c>
      <c r="H8" s="48" t="str"/>
      <c r="I8" s="48" t="str"/>
      <c r="J8" s="59">
        <f>IF(G8="","",RANK.EQ(G8,$G$5:$G$29,0))</f>
        <v/>
      </c>
      <c r="K8" s="48" t="str"/>
      <c r="L8" s="59">
        <f>IF(OR(G8="",K8=""),"",ABS(G8-K8))</f>
        <v/>
      </c>
      <c r="M8" s="48" t="str"/>
      <c r="N8" s="48" t="str"/>
    </row>
    <row r="9" ht="30" customHeight="1">
      <c r="A9" s="48" t="str"/>
      <c r="B9" s="48" t="str"/>
      <c r="C9" s="48" t="str"/>
      <c r="D9" s="48" t="str"/>
      <c r="E9" s="48" t="str"/>
      <c r="F9" s="48" t="str"/>
      <c r="G9" s="59">
        <f>IF(B9="","",SUM(B9:F9))</f>
        <v/>
      </c>
      <c r="H9" s="48" t="str"/>
      <c r="I9" s="48" t="str"/>
      <c r="J9" s="59">
        <f>IF(G9="","",RANK.EQ(G9,$G$5:$G$29,0))</f>
        <v/>
      </c>
      <c r="K9" s="48" t="str"/>
      <c r="L9" s="59">
        <f>IF(OR(G9="",K9=""),"",ABS(G9-K9))</f>
        <v/>
      </c>
      <c r="M9" s="48" t="str"/>
      <c r="N9" s="48" t="str"/>
    </row>
    <row r="10" ht="30" customHeight="1">
      <c r="A10" s="48" t="str"/>
      <c r="B10" s="48" t="str"/>
      <c r="C10" s="48" t="str"/>
      <c r="D10" s="48" t="str"/>
      <c r="E10" s="48" t="str"/>
      <c r="F10" s="48" t="str"/>
      <c r="G10" s="59">
        <f>IF(B10="","",SUM(B10:F10))</f>
        <v/>
      </c>
      <c r="H10" s="48" t="str"/>
      <c r="I10" s="48" t="str"/>
      <c r="J10" s="59">
        <f>IF(G10="","",RANK.EQ(G10,$G$5:$G$29,0))</f>
        <v/>
      </c>
      <c r="K10" s="48" t="str"/>
      <c r="L10" s="59">
        <f>IF(OR(G10="",K10=""),"",ABS(G10-K10))</f>
        <v/>
      </c>
      <c r="M10" s="48" t="str"/>
      <c r="N10" s="48" t="str"/>
    </row>
    <row r="11" ht="30" customHeight="1">
      <c r="A11" s="48" t="str"/>
      <c r="B11" s="48" t="str"/>
      <c r="C11" s="48" t="str"/>
      <c r="D11" s="48" t="str"/>
      <c r="E11" s="48" t="str"/>
      <c r="F11" s="48" t="str"/>
      <c r="G11" s="59">
        <f>IF(B11="","",SUM(B11:F11))</f>
        <v/>
      </c>
      <c r="H11" s="48" t="str"/>
      <c r="I11" s="48" t="str"/>
      <c r="J11" s="59">
        <f>IF(G11="","",RANK.EQ(G11,$G$5:$G$29,0))</f>
        <v/>
      </c>
      <c r="K11" s="48" t="str"/>
      <c r="L11" s="59">
        <f>IF(OR(G11="",K11=""),"",ABS(G11-K11))</f>
        <v/>
      </c>
      <c r="M11" s="48" t="str"/>
      <c r="N11" s="48" t="str"/>
    </row>
    <row r="12" ht="30" customHeight="1">
      <c r="A12" s="48" t="str"/>
      <c r="B12" s="48" t="str"/>
      <c r="C12" s="48" t="str"/>
      <c r="D12" s="48" t="str"/>
      <c r="E12" s="48" t="str"/>
      <c r="F12" s="48" t="str"/>
      <c r="G12" s="59">
        <f>IF(B12="","",SUM(B12:F12))</f>
        <v/>
      </c>
      <c r="H12" s="48" t="str"/>
      <c r="I12" s="48" t="str"/>
      <c r="J12" s="59">
        <f>IF(G12="","",RANK.EQ(G12,$G$5:$G$29,0))</f>
        <v/>
      </c>
      <c r="K12" s="48" t="str"/>
      <c r="L12" s="59">
        <f>IF(OR(G12="",K12=""),"",ABS(G12-K12))</f>
        <v/>
      </c>
      <c r="M12" s="48" t="str"/>
      <c r="N12" s="48" t="str"/>
    </row>
    <row r="13" ht="30" customHeight="1">
      <c r="A13" s="48" t="str"/>
      <c r="B13" s="48" t="str"/>
      <c r="C13" s="48" t="str"/>
      <c r="D13" s="48" t="str"/>
      <c r="E13" s="48" t="str"/>
      <c r="F13" s="48" t="str"/>
      <c r="G13" s="59">
        <f>IF(B13="","",SUM(B13:F13))</f>
        <v/>
      </c>
      <c r="H13" s="48" t="str"/>
      <c r="I13" s="48" t="str"/>
      <c r="J13" s="59">
        <f>IF(G13="","",RANK.EQ(G13,$G$5:$G$29,0))</f>
        <v/>
      </c>
      <c r="K13" s="48" t="str"/>
      <c r="L13" s="59">
        <f>IF(OR(G13="",K13=""),"",ABS(G13-K13))</f>
        <v/>
      </c>
      <c r="M13" s="48" t="str"/>
      <c r="N13" s="48" t="str"/>
    </row>
    <row r="14" ht="30" customHeight="1">
      <c r="A14" s="48" t="str"/>
      <c r="B14" s="48" t="str"/>
      <c r="C14" s="48" t="str"/>
      <c r="D14" s="48" t="str"/>
      <c r="E14" s="48" t="str"/>
      <c r="F14" s="48" t="str"/>
      <c r="G14" s="59">
        <f>IF(B14="","",SUM(B14:F14))</f>
        <v/>
      </c>
      <c r="H14" s="48" t="str"/>
      <c r="I14" s="48" t="str"/>
      <c r="J14" s="59">
        <f>IF(G14="","",RANK.EQ(G14,$G$5:$G$29,0))</f>
        <v/>
      </c>
      <c r="K14" s="48" t="str"/>
      <c r="L14" s="59">
        <f>IF(OR(G14="",K14=""),"",ABS(G14-K14))</f>
        <v/>
      </c>
      <c r="M14" s="48" t="str"/>
      <c r="N14" s="48" t="str"/>
    </row>
    <row r="15" ht="30" customHeight="1">
      <c r="A15" s="48" t="str"/>
      <c r="B15" s="48" t="str"/>
      <c r="C15" s="48" t="str"/>
      <c r="D15" s="48" t="str"/>
      <c r="E15" s="48" t="str"/>
      <c r="F15" s="48" t="str"/>
      <c r="G15" s="59">
        <f>IF(B15="","",SUM(B15:F15))</f>
        <v/>
      </c>
      <c r="H15" s="48" t="str"/>
      <c r="I15" s="48" t="str"/>
      <c r="J15" s="59">
        <f>IF(G15="","",RANK.EQ(G15,$G$5:$G$29,0))</f>
        <v/>
      </c>
      <c r="K15" s="48" t="str"/>
      <c r="L15" s="59">
        <f>IF(OR(G15="",K15=""),"",ABS(G15-K15))</f>
        <v/>
      </c>
      <c r="M15" s="48" t="str"/>
      <c r="N15" s="48" t="str"/>
    </row>
    <row r="16" ht="30" customHeight="1">
      <c r="A16" s="48" t="str"/>
      <c r="B16" s="48" t="str"/>
      <c r="C16" s="48" t="str"/>
      <c r="D16" s="48" t="str"/>
      <c r="E16" s="48" t="str"/>
      <c r="F16" s="48" t="str"/>
      <c r="G16" s="59">
        <f>IF(B16="","",SUM(B16:F16))</f>
        <v/>
      </c>
      <c r="H16" s="48" t="str"/>
      <c r="I16" s="48" t="str"/>
      <c r="J16" s="59">
        <f>IF(G16="","",RANK.EQ(G16,$G$5:$G$29,0))</f>
        <v/>
      </c>
      <c r="K16" s="48" t="str"/>
      <c r="L16" s="59">
        <f>IF(OR(G16="",K16=""),"",ABS(G16-K16))</f>
        <v/>
      </c>
      <c r="M16" s="48" t="str"/>
      <c r="N16" s="48" t="str"/>
    </row>
    <row r="17" ht="30" customHeight="1">
      <c r="A17" s="48" t="str"/>
      <c r="B17" s="48" t="str"/>
      <c r="C17" s="48" t="str"/>
      <c r="D17" s="48" t="str"/>
      <c r="E17" s="48" t="str"/>
      <c r="F17" s="48" t="str"/>
      <c r="G17" s="59">
        <f>IF(B17="","",SUM(B17:F17))</f>
        <v/>
      </c>
      <c r="H17" s="48" t="str"/>
      <c r="I17" s="48" t="str"/>
      <c r="J17" s="59">
        <f>IF(G17="","",RANK.EQ(G17,$G$5:$G$29,0))</f>
        <v/>
      </c>
      <c r="K17" s="48" t="str"/>
      <c r="L17" s="59">
        <f>IF(OR(G17="",K17=""),"",ABS(G17-K17))</f>
        <v/>
      </c>
      <c r="M17" s="48" t="str"/>
      <c r="N17" s="48" t="str"/>
    </row>
    <row r="18" ht="30" customHeight="1">
      <c r="A18" s="48" t="str"/>
      <c r="B18" s="48" t="str"/>
      <c r="C18" s="48" t="str"/>
      <c r="D18" s="48" t="str"/>
      <c r="E18" s="48" t="str"/>
      <c r="F18" s="48" t="str"/>
      <c r="G18" s="59">
        <f>IF(B18="","",SUM(B18:F18))</f>
        <v/>
      </c>
      <c r="H18" s="48" t="str"/>
      <c r="I18" s="48" t="str"/>
      <c r="J18" s="59">
        <f>IF(G18="","",RANK.EQ(G18,$G$5:$G$29,0))</f>
        <v/>
      </c>
      <c r="K18" s="48" t="str"/>
      <c r="L18" s="59">
        <f>IF(OR(G18="",K18=""),"",ABS(G18-K18))</f>
        <v/>
      </c>
      <c r="M18" s="48" t="str"/>
      <c r="N18" s="48" t="str"/>
    </row>
    <row r="19" ht="30" customHeight="1">
      <c r="A19" s="48" t="str"/>
      <c r="B19" s="48" t="str"/>
      <c r="C19" s="48" t="str"/>
      <c r="D19" s="48" t="str"/>
      <c r="E19" s="48" t="str"/>
      <c r="F19" s="48" t="str"/>
      <c r="G19" s="59">
        <f>IF(B19="","",SUM(B19:F19))</f>
        <v/>
      </c>
      <c r="H19" s="48" t="str"/>
      <c r="I19" s="48" t="str"/>
      <c r="J19" s="59">
        <f>IF(G19="","",RANK.EQ(G19,$G$5:$G$29,0))</f>
        <v/>
      </c>
      <c r="K19" s="48" t="str"/>
      <c r="L19" s="59">
        <f>IF(OR(G19="",K19=""),"",ABS(G19-K19))</f>
        <v/>
      </c>
      <c r="M19" s="48" t="str"/>
      <c r="N19" s="48" t="str"/>
    </row>
    <row r="20" ht="30" customHeight="1">
      <c r="A20" s="48" t="str"/>
      <c r="B20" s="48" t="str"/>
      <c r="C20" s="48" t="str"/>
      <c r="D20" s="48" t="str"/>
      <c r="E20" s="48" t="str"/>
      <c r="F20" s="48" t="str"/>
      <c r="G20" s="59">
        <f>IF(B20="","",SUM(B20:F20))</f>
        <v/>
      </c>
      <c r="H20" s="48" t="str"/>
      <c r="I20" s="48" t="str"/>
      <c r="J20" s="59">
        <f>IF(G20="","",RANK.EQ(G20,$G$5:$G$29,0))</f>
        <v/>
      </c>
      <c r="K20" s="48" t="str"/>
      <c r="L20" s="59">
        <f>IF(OR(G20="",K20=""),"",ABS(G20-K20))</f>
        <v/>
      </c>
      <c r="M20" s="48" t="str"/>
      <c r="N20" s="48" t="str"/>
    </row>
    <row r="21" ht="30" customHeight="1">
      <c r="A21" s="48" t="str"/>
      <c r="B21" s="48" t="str"/>
      <c r="C21" s="48" t="str"/>
      <c r="D21" s="48" t="str"/>
      <c r="E21" s="48" t="str"/>
      <c r="F21" s="48" t="str"/>
      <c r="G21" s="59">
        <f>IF(B21="","",SUM(B21:F21))</f>
        <v/>
      </c>
      <c r="H21" s="48" t="str"/>
      <c r="I21" s="48" t="str"/>
      <c r="J21" s="59">
        <f>IF(G21="","",RANK.EQ(G21,$G$5:$G$29,0))</f>
        <v/>
      </c>
      <c r="K21" s="48" t="str"/>
      <c r="L21" s="59">
        <f>IF(OR(G21="",K21=""),"",ABS(G21-K21))</f>
        <v/>
      </c>
      <c r="M21" s="48" t="str"/>
      <c r="N21" s="48" t="str"/>
    </row>
    <row r="22" ht="30" customHeight="1">
      <c r="A22" s="48" t="str"/>
      <c r="B22" s="48" t="str"/>
      <c r="C22" s="48" t="str"/>
      <c r="D22" s="48" t="str"/>
      <c r="E22" s="48" t="str"/>
      <c r="F22" s="48" t="str"/>
      <c r="G22" s="59">
        <f>IF(B22="","",SUM(B22:F22))</f>
        <v/>
      </c>
      <c r="H22" s="48" t="str"/>
      <c r="I22" s="48" t="str"/>
      <c r="J22" s="59">
        <f>IF(G22="","",RANK.EQ(G22,$G$5:$G$29,0))</f>
        <v/>
      </c>
      <c r="K22" s="48" t="str"/>
      <c r="L22" s="59">
        <f>IF(OR(G22="",K22=""),"",ABS(G22-K22))</f>
        <v/>
      </c>
      <c r="M22" s="48" t="str"/>
      <c r="N22" s="48" t="str"/>
    </row>
    <row r="23" ht="30" customHeight="1">
      <c r="A23" s="48" t="str"/>
      <c r="B23" s="48" t="str"/>
      <c r="C23" s="48" t="str"/>
      <c r="D23" s="48" t="str"/>
      <c r="E23" s="48" t="str"/>
      <c r="F23" s="48" t="str"/>
      <c r="G23" s="59">
        <f>IF(B23="","",SUM(B23:F23))</f>
        <v/>
      </c>
      <c r="H23" s="48" t="str"/>
      <c r="I23" s="48" t="str"/>
      <c r="J23" s="59">
        <f>IF(G23="","",RANK.EQ(G23,$G$5:$G$29,0))</f>
        <v/>
      </c>
      <c r="K23" s="48" t="str"/>
      <c r="L23" s="59">
        <f>IF(OR(G23="",K23=""),"",ABS(G23-K23))</f>
        <v/>
      </c>
      <c r="M23" s="48" t="str"/>
      <c r="N23" s="48" t="str"/>
    </row>
    <row r="24" ht="30" customHeight="1">
      <c r="A24" s="48" t="str"/>
      <c r="B24" s="48" t="str"/>
      <c r="C24" s="48" t="str"/>
      <c r="D24" s="48" t="str"/>
      <c r="E24" s="48" t="str"/>
      <c r="F24" s="48" t="str"/>
      <c r="G24" s="59">
        <f>IF(B24="","",SUM(B24:F24))</f>
        <v/>
      </c>
      <c r="H24" s="48" t="str"/>
      <c r="I24" s="48" t="str"/>
      <c r="J24" s="59">
        <f>IF(G24="","",RANK.EQ(G24,$G$5:$G$29,0))</f>
        <v/>
      </c>
      <c r="K24" s="48" t="str"/>
      <c r="L24" s="59">
        <f>IF(OR(G24="",K24=""),"",ABS(G24-K24))</f>
        <v/>
      </c>
      <c r="M24" s="48" t="str"/>
      <c r="N24" s="48" t="str"/>
    </row>
    <row r="25" ht="30" customHeight="1">
      <c r="A25" s="48" t="str"/>
      <c r="B25" s="48" t="str"/>
      <c r="C25" s="48" t="str"/>
      <c r="D25" s="48" t="str"/>
      <c r="E25" s="48" t="str"/>
      <c r="F25" s="48" t="str"/>
      <c r="G25" s="59">
        <f>IF(B25="","",SUM(B25:F25))</f>
        <v/>
      </c>
      <c r="H25" s="48" t="str"/>
      <c r="I25" s="48" t="str"/>
      <c r="J25" s="59">
        <f>IF(G25="","",RANK.EQ(G25,$G$5:$G$29,0))</f>
        <v/>
      </c>
      <c r="K25" s="48" t="str"/>
      <c r="L25" s="59">
        <f>IF(OR(G25="",K25=""),"",ABS(G25-K25))</f>
        <v/>
      </c>
      <c r="M25" s="48" t="str"/>
      <c r="N25" s="48" t="str"/>
    </row>
    <row r="26" ht="30" customHeight="1">
      <c r="A26" s="48" t="str"/>
      <c r="B26" s="48" t="str"/>
      <c r="C26" s="48" t="str"/>
      <c r="D26" s="48" t="str"/>
      <c r="E26" s="48" t="str"/>
      <c r="F26" s="48" t="str"/>
      <c r="G26" s="59">
        <f>IF(B26="","",SUM(B26:F26))</f>
        <v/>
      </c>
      <c r="H26" s="48" t="str"/>
      <c r="I26" s="48" t="str"/>
      <c r="J26" s="59">
        <f>IF(G26="","",RANK.EQ(G26,$G$5:$G$29,0))</f>
        <v/>
      </c>
      <c r="K26" s="48" t="str"/>
      <c r="L26" s="59">
        <f>IF(OR(G26="",K26=""),"",ABS(G26-K26))</f>
        <v/>
      </c>
      <c r="M26" s="48" t="str"/>
      <c r="N26" s="48" t="str"/>
    </row>
    <row r="27" ht="30" customHeight="1">
      <c r="A27" s="48" t="str"/>
      <c r="B27" s="48" t="str"/>
      <c r="C27" s="48" t="str"/>
      <c r="D27" s="48" t="str"/>
      <c r="E27" s="48" t="str"/>
      <c r="F27" s="48" t="str"/>
      <c r="G27" s="59">
        <f>IF(B27="","",SUM(B27:F27))</f>
        <v/>
      </c>
      <c r="H27" s="48" t="str"/>
      <c r="I27" s="48" t="str"/>
      <c r="J27" s="59">
        <f>IF(G27="","",RANK.EQ(G27,$G$5:$G$29,0))</f>
        <v/>
      </c>
      <c r="K27" s="48" t="str"/>
      <c r="L27" s="59">
        <f>IF(OR(G27="",K27=""),"",ABS(G27-K27))</f>
        <v/>
      </c>
      <c r="M27" s="48" t="str"/>
      <c r="N27" s="48" t="str"/>
    </row>
    <row r="28" ht="30" customHeight="1">
      <c r="A28" s="48" t="str"/>
      <c r="B28" s="48" t="str"/>
      <c r="C28" s="48" t="str"/>
      <c r="D28" s="48" t="str"/>
      <c r="E28" s="48" t="str"/>
      <c r="F28" s="48" t="str"/>
      <c r="G28" s="59">
        <f>IF(B28="","",SUM(B28:F28))</f>
        <v/>
      </c>
      <c r="H28" s="48" t="str"/>
      <c r="I28" s="48" t="str"/>
      <c r="J28" s="59">
        <f>IF(G28="","",RANK.EQ(G28,$G$5:$G$29,0))</f>
        <v/>
      </c>
      <c r="K28" s="48" t="str"/>
      <c r="L28" s="59">
        <f>IF(OR(G28="",K28=""),"",ABS(G28-K28))</f>
        <v/>
      </c>
      <c r="M28" s="48" t="str"/>
      <c r="N28" s="48" t="str"/>
    </row>
    <row r="29" ht="30" customHeight="1">
      <c r="A29" s="48" t="str"/>
      <c r="B29" s="48" t="str"/>
      <c r="C29" s="48" t="str"/>
      <c r="D29" s="48" t="str"/>
      <c r="E29" s="48" t="str"/>
      <c r="F29" s="48" t="str"/>
      <c r="G29" s="59">
        <f>IF(B29="","",SUM(B29:F29))</f>
        <v/>
      </c>
      <c r="H29" s="48" t="str"/>
      <c r="I29" s="48" t="str"/>
      <c r="J29" s="59">
        <f>IF(G29="","",RANK.EQ(G29,$G$5:$G$29,0))</f>
        <v/>
      </c>
      <c r="K29" s="48" t="str"/>
      <c r="L29" s="59">
        <f>IF(OR(G29="",K29=""),"",ABS(G29-K29))</f>
        <v/>
      </c>
      <c r="M29" s="48" t="str"/>
      <c r="N29" s="48" t="str"/>
    </row>
    <row r="31" ht="23" customHeight="1">
      <c r="A31" s="10" t="inlineStr">
        <is>
          <t>Moderation Controls</t>
        </is>
      </c>
    </row>
    <row r="32">
      <c r="A32" s="37" t="inlineStr">
        <is>
          <t>Control</t>
        </is>
      </c>
      <c r="B32" s="37" t="inlineStr">
        <is>
          <t>Required action</t>
        </is>
      </c>
      <c r="C32" s="70" t="n"/>
      <c r="D32" s="70" t="n"/>
      <c r="E32" s="70" t="n"/>
      <c r="F32" s="70" t="n"/>
      <c r="G32" s="70" t="n"/>
      <c r="H32" s="70" t="n"/>
      <c r="I32" s="70" t="n"/>
      <c r="J32" s="70" t="n"/>
      <c r="K32" s="70" t="n"/>
      <c r="L32" s="70" t="n"/>
      <c r="M32" s="70" t="n"/>
      <c r="N32" s="71" t="n"/>
    </row>
    <row r="33" ht="34" customHeight="1">
      <c r="A33" s="69" t="inlineStr">
        <is>
          <t>Anchor calibration</t>
        </is>
      </c>
      <c r="B33" s="34" t="inlineStr">
        <is>
          <t>Two anchor submissions scored before final marking</t>
        </is>
      </c>
      <c r="C33" s="70" t="n"/>
      <c r="D33" s="70" t="n"/>
      <c r="E33" s="70" t="n"/>
      <c r="F33" s="70" t="n"/>
      <c r="G33" s="70" t="n"/>
      <c r="H33" s="70" t="n"/>
      <c r="I33" s="70" t="n"/>
      <c r="J33" s="70" t="n"/>
      <c r="K33" s="70" t="n"/>
      <c r="L33" s="70" t="n"/>
      <c r="M33" s="70" t="n"/>
      <c r="N33" s="71" t="n"/>
    </row>
    <row r="34" ht="34" customHeight="1">
      <c r="A34" s="69" t="inlineStr">
        <is>
          <t>Double scoring</t>
        </is>
      </c>
      <c r="B34" s="34" t="inlineStr">
        <is>
          <t>All likely selections, within 5 of cutoff, &gt;5 disagreement, and at least 20% of track</t>
        </is>
      </c>
      <c r="C34" s="70" t="n"/>
      <c r="D34" s="70" t="n"/>
      <c r="E34" s="70" t="n"/>
      <c r="F34" s="70" t="n"/>
      <c r="G34" s="70" t="n"/>
      <c r="H34" s="70" t="n"/>
      <c r="I34" s="70" t="n"/>
      <c r="J34" s="70" t="n"/>
      <c r="K34" s="70" t="n"/>
      <c r="L34" s="70" t="n"/>
      <c r="M34" s="70" t="n"/>
      <c r="N34" s="71" t="n"/>
    </row>
    <row r="35" ht="34" customHeight="1">
      <c r="A35" s="69" t="inlineStr">
        <is>
          <t>Cross-track moderation</t>
        </is>
      </c>
      <c r="B35" s="34" t="inlineStr">
        <is>
          <t>Compare difficulty and evaluator severity after ranking within track</t>
        </is>
      </c>
      <c r="C35" s="70" t="n"/>
      <c r="D35" s="70" t="n"/>
      <c r="E35" s="70" t="n"/>
      <c r="F35" s="70" t="n"/>
      <c r="G35" s="70" t="n"/>
      <c r="H35" s="70" t="n"/>
      <c r="I35" s="70" t="n"/>
      <c r="J35" s="70" t="n"/>
      <c r="K35" s="70" t="n"/>
      <c r="L35" s="70" t="n"/>
      <c r="M35" s="70" t="n"/>
      <c r="N35" s="71" t="n"/>
    </row>
    <row r="36" ht="34" customHeight="1">
      <c r="A36" s="69" t="inlineStr">
        <is>
          <t>Tie-break order</t>
        </is>
      </c>
      <c r="B36" s="34" t="inlineStr">
        <is>
          <t>Live ownership, engineering, testing, functional quality, efficiency/licensing/product</t>
        </is>
      </c>
      <c r="C36" s="70" t="n"/>
      <c r="D36" s="70" t="n"/>
      <c r="E36" s="70" t="n"/>
      <c r="F36" s="70" t="n"/>
      <c r="G36" s="70" t="n"/>
      <c r="H36" s="70" t="n"/>
      <c r="I36" s="70" t="n"/>
      <c r="J36" s="70" t="n"/>
      <c r="K36" s="70" t="n"/>
      <c r="L36" s="70" t="n"/>
      <c r="M36" s="70" t="n"/>
      <c r="N36" s="71" t="n"/>
    </row>
  </sheetData>
  <mergeCells count="8">
    <mergeCell ref="B36:N36"/>
    <mergeCell ref="A31:N31"/>
    <mergeCell ref="B32:N32"/>
    <mergeCell ref="B35:N35"/>
    <mergeCell ref="A2:N2"/>
    <mergeCell ref="B33:N33"/>
    <mergeCell ref="B34:N34"/>
    <mergeCell ref="A1:N1"/>
  </mergeCells>
  <dataValidations count="3">
    <dataValidation sqref="H5:H29" showDropDown="0" showInputMessage="0" showErrorMessage="0" allowBlank="0" type="list">
      <formula1>"ELIGIBLE,INELIGIBLE,PENDING"</formula1>
    </dataValidation>
    <dataValidation sqref="I5:I29" showDropDown="0" showInputMessage="0" showErrorMessage="0" allowBlank="0" type="list">
      <formula1>"BELOW BASELINE,BASELINE,STRONG,EXCEPTIONAL"</formula1>
    </dataValidation>
    <dataValidation sqref="M5:M29" showDropDown="0" showInputMessage="0" showErrorMessage="0" allowBlank="0" type="list">
      <formula1>"Not required,Required,Completed,Disagreement review"</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2026-09-11T17:22:58Z</dcterms:created>
  <dcterms:modified xmlns:dcterms="http://purl.org/dc/terms/" xmlns:xsi="http://www.w3.org/2001/XMLSchema-instance" xsi:type="dcterms:W3CDTF">2026-09-11T17:22:58Z</dcterms:modified>
</cp:coreProperties>
</file>